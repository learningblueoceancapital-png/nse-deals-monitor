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SUM(J8:J53)</f>
        <v>4162632.59</v>
      </c>
      <c r="F1" s="1" t="inlineStr">
        <is>
          <t>Current Value</t>
        </is>
      </c>
      <c r="G1" s="2">
        <f>SUM(L8:L53)</f>
        <v>3864882.18</v>
      </c>
    </row>
    <row r="2">
      <c r="D2" s="1" t="inlineStr">
        <is>
          <t>Total P&amp;L (Rs)</t>
        </is>
      </c>
      <c r="E2" s="2">
        <f>SUM(M8:M53)</f>
        <v>-297750.41</v>
      </c>
      <c r="F2" s="1" t="inlineStr">
        <is>
          <t>Total P&amp;L %</t>
        </is>
      </c>
      <c r="G2" s="3">
        <f>IF(E1=0,"",G1/E1-1)</f>
        <v>-0.0715293515731591</v>
      </c>
    </row>
    <row r="3">
      <c r="A3" s="1" t="inlineStr">
        <is>
          <t>As-of date</t>
        </is>
      </c>
      <c r="B3" s="4" t="n">
        <v>46321</v>
      </c>
      <c r="D3" s="1" t="inlineStr">
        <is>
          <t>Winners</t>
        </is>
      </c>
      <c r="E3">
        <f>COUNTIF(M8:M53,"&gt;0")</f>
        <v>9</v>
      </c>
      <c r="F3" s="1" t="inlineStr">
        <is>
          <t>Losers</t>
        </is>
      </c>
      <c r="G3">
        <f>COUNTIF(M8:M53,"&lt;0")</f>
        <v>33</v>
      </c>
    </row>
    <row r="4">
      <c r="D4" s="1" t="inlineStr">
        <is>
          <t>Win Rate</t>
        </is>
      </c>
      <c r="E4" s="3">
        <f>IF((E3+G3)=0,"",E3/(E3+G3))</f>
        <v>0.21428571428571427</v>
      </c>
      <c r="F4" s="1" t="inlineStr">
        <is>
          <t>Avg Return / Stock</t>
        </is>
      </c>
      <c r="G4" s="3">
        <f>AVERAGE(N8:N53)</f>
        <v>-0.07167628534450934</v>
      </c>
    </row>
    <row r="5">
      <c r="D5" s="1" t="inlineStr">
        <is>
          <t>Best Stock</t>
        </is>
      </c>
      <c r="E5" t="str">
        <f>INDEX(B8:B53,MATCH(MAX(N8:N53),N8:N53,0))</f>
        <v>Pashupati Cotspin Limited</v>
      </c>
      <c r="F5" s="1" t="inlineStr">
        <is>
          <t>Worst Stock</t>
        </is>
      </c>
      <c r="G5" t="str">
        <f>INDEX(B8:B53,MATCH(MIN(N8:N53),N8:N53,0))</f>
        <v>Lloyds Enterprises Limited</v>
      </c>
    </row>
    <row r="6">
      <c r="D6" s="1" t="inlineStr">
        <is>
          <t>Avg Return 4★*</t>
        </is>
      </c>
      <c r="E6" s="3">
        <f>AVERAGEIF(D8:D53,"4★*",N8:N53)</f>
        <v>-0.10690773576489473</v>
      </c>
      <c r="F6" s="1" t="inlineStr">
        <is>
          <t>Avg Return 5★*</t>
        </is>
      </c>
      <c r="G6" s="3">
        <f>AVERAGEIF(D8:D53,"5★*",N8:N53)</f>
        <v>-0.042572043692886634</v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>332</v>
      </c>
      <c r="J8" s="9">
        <f>IF(H8="","",H8*I8)</f>
        <v>99851.29</v>
      </c>
      <c r="K8" s="9" t="n">
        <v>273.8</v>
      </c>
      <c r="L8" s="9">
        <f>IF(OR(I8="",K8=""),"",K8*I8)</f>
        <v>90901.6</v>
      </c>
      <c r="M8" s="9">
        <f>IF(L8="","",L8-J8)</f>
        <v>-8949.69</v>
      </c>
      <c r="N8" s="10">
        <f>IF(OR(H8="",K8=""),"",K8/H8-1)</f>
        <v>-0.08963022056337933</v>
      </c>
      <c r="O8" s="6">
        <f>IF(G8="","",$B$3-G8)</f>
        <v>21</v>
      </c>
      <c r="P8" s="6" t="str">
        <f>IF(H8="","Pending buy",IF(N8&gt;=0,"In profit","In loss"))</f>
        <v>In loss</v>
      </c>
      <c r="Q8" s="6" t="n">
        <v>2</v>
      </c>
    </row>
    <row r="9">
      <c r="A9" s="6" t="n">
        <v>2</v>
      </c>
      <c r="B9" s="7" t="inlineStr">
        <is>
          <t>ETERNAL LIMITED</t>
        </is>
      </c>
      <c r="C9" s="6" t="inlineStr">
        <is>
          <t>ETERNAL</t>
        </is>
      </c>
      <c r="D9" s="6" t="inlineStr">
        <is>
          <t>5★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325.78</v>
      </c>
      <c r="I9" s="6">
        <f>IF(H9="","",ROUNDDOWN($B$1/H9,0))</f>
        <v>306</v>
      </c>
      <c r="J9" s="9">
        <f>IF(H9="","",H9*I9)</f>
        <v>99687.42</v>
      </c>
      <c r="K9" s="9" t="n">
        <v>325.55</v>
      </c>
      <c r="L9" s="9">
        <f>IF(OR(I9="",K9=""),"",K9*I9)</f>
        <v>99618.3</v>
      </c>
      <c r="M9" s="9">
        <f>IF(L9="","",L9-J9)</f>
        <v>-69.12</v>
      </c>
      <c r="N9" s="10">
        <f>IF(OR(H9="",K9=""),"",K9/H9-1)</f>
        <v>-0.0006933693124239193</v>
      </c>
      <c r="O9" s="6">
        <f>IF(G9="","",$B$3-G9)</f>
        <v>20</v>
      </c>
      <c r="P9" s="6" t="str">
        <f>IF(H9="","Pending buy",IF(N9&gt;=0,"In profit","In loss"))</f>
        <v>In loss</v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>63</v>
      </c>
      <c r="J10" s="9">
        <f>IF(H10="","",H10*I10)</f>
        <v>99607.14</v>
      </c>
      <c r="K10" s="9" t="n">
        <v>1463.7</v>
      </c>
      <c r="L10" s="9">
        <f>IF(OR(I10="",K10=""),"",K10*I10)</f>
        <v>92213.1</v>
      </c>
      <c r="M10" s="9">
        <f>IF(L10="","",L10-J10)</f>
        <v>-7394.04</v>
      </c>
      <c r="N10" s="10">
        <f>IF(OR(H10="",K10=""),"",K10/H10-1)</f>
        <v>-0.07423203656070132</v>
      </c>
      <c r="O10" s="6">
        <f>IF(G10="","",$B$3-G10)</f>
        <v>20</v>
      </c>
      <c r="P10" s="6" t="str">
        <f>IF(H10="","Pending buy",IF(N10&gt;=0,"In profit","In loss"))</f>
        <v>In loss</v>
      </c>
      <c r="Q10" s="6" t="n">
        <v>2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>1251</v>
      </c>
      <c r="J11" s="9">
        <f>IF(H11="","",H11*I11)</f>
        <v>99927.23</v>
      </c>
      <c r="K11" s="9" t="n">
        <v>60.91</v>
      </c>
      <c r="L11" s="9">
        <f>IF(OR(I11="",K11=""),"",K11*I11)</f>
        <v>76198.41</v>
      </c>
      <c r="M11" s="9">
        <f>IF(L11="","",L11-J11)</f>
        <v>-23728.82</v>
      </c>
      <c r="N11" s="10">
        <f>IF(OR(H11="",K11=""),"",K11/H11-1)</f>
        <v>-0.23746100328498954</v>
      </c>
      <c r="O11" s="6">
        <f>IF(G11="","",$B$3-G11)</f>
        <v>20</v>
      </c>
      <c r="P11" s="6" t="str">
        <f>IF(H11="","Pending buy",IF(N11&gt;=0,"In profit","In loss"))</f>
        <v>In loss</v>
      </c>
      <c r="Q11" s="6" t="n">
        <v>1</v>
      </c>
    </row>
    <row r="12">
      <c r="A12" s="6" t="n">
        <v>5</v>
      </c>
      <c r="B12" s="7" t="inlineStr">
        <is>
          <t>Neuland Laboratories Limited</t>
        </is>
      </c>
      <c r="C12" s="6" t="inlineStr">
        <is>
          <t>NEULANDLAB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21634.28</v>
      </c>
      <c r="I12" s="6">
        <f>IF(H12="","",ROUNDDOWN($B$1/H12,0))</f>
        <v>4</v>
      </c>
      <c r="J12" s="9">
        <f>IF(H12="","",H12*I12)</f>
        <v>86537.12</v>
      </c>
      <c r="K12" s="9" t="n">
        <v>19055</v>
      </c>
      <c r="L12" s="9">
        <f>IF(OR(I12="",K12=""),"",K12*I12)</f>
        <v>76220.0</v>
      </c>
      <c r="M12" s="9">
        <f>IF(L12="","",L12-J12)</f>
        <v>-10317.12</v>
      </c>
      <c r="N12" s="10">
        <f>IF(OR(H12="",K12=""),"",K12/H12-1)</f>
        <v>-0.11922186225051612</v>
      </c>
      <c r="O12" s="6">
        <f>IF(G12="","",$B$3-G12)</f>
        <v>20</v>
      </c>
      <c r="P12" s="6" t="str">
        <f>IF(H12="","Pending buy",IF(N12&gt;=0,"In profit","In loss"))</f>
        <v>In loss</v>
      </c>
      <c r="Q12" s="6" t="n">
        <v>1</v>
      </c>
    </row>
    <row r="13">
      <c r="A13" s="6" t="n">
        <v>6</v>
      </c>
      <c r="B13" s="7" t="inlineStr">
        <is>
          <t>Nuvama Wealth Management Limited</t>
        </is>
      </c>
      <c r="C13" s="6" t="inlineStr">
        <is>
          <t>NUVAMA</t>
        </is>
      </c>
      <c r="D13" s="6" t="inlineStr">
        <is>
          <t>4★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1852.41</v>
      </c>
      <c r="I13" s="6">
        <f>IF(H13="","",ROUNDDOWN($B$1/H13,0))</f>
        <v>53</v>
      </c>
      <c r="J13" s="9">
        <f>IF(H13="","",H13*I13)</f>
        <v>98177.53</v>
      </c>
      <c r="K13" s="9" t="n">
        <v>1659</v>
      </c>
      <c r="L13" s="9">
        <f>IF(OR(I13="",K13=""),"",K13*I13)</f>
        <v>87927.0</v>
      </c>
      <c r="M13" s="9">
        <f>IF(L13="","",L13-J13)</f>
        <v>-10250.53</v>
      </c>
      <c r="N13" s="10">
        <f>IF(OR(H13="",K13=""),"",K13/H13-1)</f>
        <v>-0.10440813522482284</v>
      </c>
      <c r="O13" s="6">
        <f>IF(G13="","",$B$3-G13)</f>
        <v>20</v>
      </c>
      <c r="P13" s="6" t="str">
        <f>IF(H13="","Pending buy",IF(N13&gt;=0,"In profit","In loss"))</f>
        <v>In loss</v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>22</v>
      </c>
      <c r="J14" s="9">
        <f>IF(H14="","",H14*I14)</f>
        <v>97667.46</v>
      </c>
      <c r="K14" s="9" t="n">
        <v>4200</v>
      </c>
      <c r="L14" s="9">
        <f>IF(OR(I14="",K14=""),"",K14*I14)</f>
        <v>92400.0</v>
      </c>
      <c r="M14" s="9">
        <f>IF(L14="","",L14-J14)</f>
        <v>-5267.46</v>
      </c>
      <c r="N14" s="10">
        <f>IF(OR(H14="",K14=""),"",K14/H14-1)</f>
        <v>-0.0539326399453981</v>
      </c>
      <c r="O14" s="6">
        <f>IF(G14="","",$B$3-G14)</f>
        <v>20</v>
      </c>
      <c r="P14" s="6" t="str">
        <f>IF(H14="","Pending buy",IF(N14&gt;=0,"In profit","In loss"))</f>
        <v>In loss</v>
      </c>
      <c r="Q14" s="6" t="n">
        <v>1</v>
      </c>
    </row>
    <row r="15">
      <c r="A15" s="6" t="n">
        <v>8</v>
      </c>
      <c r="B15" s="7" t="inlineStr">
        <is>
          <t>Ador Welding Limited</t>
        </is>
      </c>
      <c r="C15" s="6" t="inlineStr">
        <is>
          <t>ADOR</t>
        </is>
      </c>
      <c r="D15" s="6" t="inlineStr">
        <is>
          <t>5★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1548.1</v>
      </c>
      <c r="I15" s="6">
        <f>IF(H15="","",ROUNDDOWN($B$1/H15,0))</f>
        <v>64</v>
      </c>
      <c r="J15" s="9">
        <f>IF(H15="","",H15*I15)</f>
        <v>99078.19</v>
      </c>
      <c r="K15" s="9" t="n">
        <v>1305.7</v>
      </c>
      <c r="L15" s="9">
        <f>IF(OR(I15="",K15=""),"",K15*I15)</f>
        <v>83564.8</v>
      </c>
      <c r="M15" s="9">
        <f>IF(L15="","",L15-J15)</f>
        <v>-15513.39</v>
      </c>
      <c r="N15" s="10">
        <f>IF(OR(H15="",K15=""),"",K15/H15-1)</f>
        <v>-0.15657722413268316</v>
      </c>
      <c r="O15" s="6">
        <f>IF(G15="","",$B$3-G15)</f>
        <v>19</v>
      </c>
      <c r="P15" s="6" t="str">
        <f>IF(H15="","Pending buy",IF(N15&gt;=0,"In profit","In loss"))</f>
        <v>In loss</v>
      </c>
      <c r="Q15" s="6" t="n">
        <v>2</v>
      </c>
    </row>
    <row r="16">
      <c r="A16" s="6" t="n">
        <v>9</v>
      </c>
      <c r="B16" s="7" t="inlineStr">
        <is>
          <t>Ather Energy Limited</t>
        </is>
      </c>
      <c r="C16" s="6" t="inlineStr">
        <is>
          <t>ATHERENERG</t>
        </is>
      </c>
      <c r="D16" s="6" t="inlineStr">
        <is>
          <t>5★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1449.38</v>
      </c>
      <c r="I16" s="6">
        <f>IF(H16="","",ROUNDDOWN($B$1/H16,0))</f>
        <v>68</v>
      </c>
      <c r="J16" s="9">
        <f>IF(H16="","",H16*I16)</f>
        <v>98557.54</v>
      </c>
      <c r="K16" s="9" t="n">
        <v>1575</v>
      </c>
      <c r="L16" s="9">
        <f>IF(OR(I16="",K16=""),"",K16*I16)</f>
        <v>107100.0</v>
      </c>
      <c r="M16" s="9">
        <f>IF(L16="","",L16-J16)</f>
        <v>8542.46</v>
      </c>
      <c r="N16" s="10">
        <f>IF(OR(H16="",K16=""),"",K16/H16-1)</f>
        <v>0.08667488845577243</v>
      </c>
      <c r="O16" s="6">
        <f>IF(G16="","",$B$3-G16)</f>
        <v>19</v>
      </c>
      <c r="P16" s="6" t="str">
        <f>IF(H16="","Pending buy",IF(N16&gt;=0,"In profit","In loss"))</f>
        <v>In profit</v>
      </c>
      <c r="Q16" s="6" t="n">
        <v>3</v>
      </c>
    </row>
    <row r="17">
      <c r="A17" s="6" t="n">
        <v>10</v>
      </c>
      <c r="B17" s="7" t="inlineStr">
        <is>
          <t>Black Box Limited</t>
        </is>
      </c>
      <c r="C17" s="6" t="inlineStr">
        <is>
          <t>BBOX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867.08</v>
      </c>
      <c r="I17" s="6">
        <f>IF(H17="","",ROUNDDOWN($B$1/H17,0))</f>
        <v>115</v>
      </c>
      <c r="J17" s="9">
        <f>IF(H17="","",H17*I17)</f>
        <v>99714.35</v>
      </c>
      <c r="K17" s="9" t="n">
        <v>796</v>
      </c>
      <c r="L17" s="9">
        <f>IF(OR(I17="",K17=""),"",K17*I17)</f>
        <v>91540.0</v>
      </c>
      <c r="M17" s="9">
        <f>IF(L17="","",L17-J17)</f>
        <v>-8174.35</v>
      </c>
      <c r="N17" s="10">
        <f>IF(OR(H17="",K17=""),"",K17/H17-1)</f>
        <v>-0.08197766990259359</v>
      </c>
      <c r="O17" s="6">
        <f>IF(G17="","",$B$3-G17)</f>
        <v>19</v>
      </c>
      <c r="P17" s="6" t="str">
        <f>IF(H17="","Pending buy",IF(N17&gt;=0,"In profit","In loss"))</f>
        <v>In loss</v>
      </c>
      <c r="Q17" s="6" t="n">
        <v>1</v>
      </c>
    </row>
    <row r="18">
      <c r="A18" s="6" t="n">
        <v>11</v>
      </c>
      <c r="B18" s="7" t="inlineStr">
        <is>
          <t>GE Power India Limited</t>
        </is>
      </c>
      <c r="C18" s="6" t="inlineStr">
        <is>
          <t>GVPIL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706.36</v>
      </c>
      <c r="I18" s="6">
        <f>IF(H18="","",ROUNDDOWN($B$1/H18,0))</f>
        <v>141</v>
      </c>
      <c r="J18" s="9">
        <f>IF(H18="","",H18*I18)</f>
        <v>99596.83</v>
      </c>
      <c r="K18" s="9" t="n">
        <v>575.8</v>
      </c>
      <c r="L18" s="9">
        <f>IF(OR(I18="",K18=""),"",K18*I18)</f>
        <v>81187.8</v>
      </c>
      <c r="M18" s="9">
        <f>IF(L18="","",L18-J18)</f>
        <v>-18409.03</v>
      </c>
      <c r="N18" s="10">
        <f>IF(OR(H18="",K18=""),"",K18/H18-1)</f>
        <v>-0.18483553884987824</v>
      </c>
      <c r="O18" s="6">
        <f>IF(G18="","",$B$3-G18)</f>
        <v>19</v>
      </c>
      <c r="P18" s="6" t="str">
        <f>IF(H18="","Pending buy",IF(N18&gt;=0,"In profit","In loss"))</f>
        <v>In loss</v>
      </c>
      <c r="Q18" s="6" t="n">
        <v>1</v>
      </c>
    </row>
    <row r="19">
      <c r="A19" s="6" t="n">
        <v>12</v>
      </c>
      <c r="B19" s="7" t="inlineStr">
        <is>
          <t>Jamna Auto Industries Limited</t>
        </is>
      </c>
      <c r="C19" s="6" t="inlineStr">
        <is>
          <t>JAMNAAUTO</t>
        </is>
      </c>
      <c r="D19" s="6" t="inlineStr">
        <is>
          <t>4★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150.82</v>
      </c>
      <c r="I19" s="6">
        <f>IF(H19="","",ROUNDDOWN($B$1/H19,0))</f>
        <v>663</v>
      </c>
      <c r="J19" s="9">
        <f>IF(H19="","",H19*I19)</f>
        <v>99993.07</v>
      </c>
      <c r="K19" s="9" t="n">
        <v>124.69</v>
      </c>
      <c r="L19" s="9">
        <f>IF(OR(I19="",K19=""),"",K19*I19)</f>
        <v>82669.47</v>
      </c>
      <c r="M19" s="9">
        <f>IF(L19="","",L19-J19)</f>
        <v>-17323.6</v>
      </c>
      <c r="N19" s="10">
        <f>IF(OR(H19="",K19=""),"",K19/H19-1)</f>
        <v>-0.17324796713583435</v>
      </c>
      <c r="O19" s="6">
        <f>IF(G19="","",$B$3-G19)</f>
        <v>19</v>
      </c>
      <c r="P19" s="6" t="str">
        <f>IF(H19="","Pending buy",IF(N19&gt;=0,"In profit","In loss"))</f>
        <v>In loss</v>
      </c>
      <c r="Q19" s="6" t="n">
        <v>2</v>
      </c>
    </row>
    <row r="20">
      <c r="A20" s="6" t="n">
        <v>13</v>
      </c>
      <c r="B20" s="7" t="inlineStr">
        <is>
          <t>Omax Autos Limited</t>
        </is>
      </c>
      <c r="C20" s="6" t="inlineStr">
        <is>
          <t>OMAXAUTO</t>
        </is>
      </c>
      <c r="D20" s="6" t="inlineStr">
        <is>
          <t>4★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209.43</v>
      </c>
      <c r="I20" s="6">
        <f>IF(H20="","",ROUNDDOWN($B$1/H20,0))</f>
        <v>477</v>
      </c>
      <c r="J20" s="9">
        <f>IF(H20="","",H20*I20)</f>
        <v>99896.43</v>
      </c>
      <c r="K20" s="9" t="n">
        <v>190.71</v>
      </c>
      <c r="L20" s="9">
        <f>IF(OR(I20="",K20=""),"",K20*I20)</f>
        <v>90968.67</v>
      </c>
      <c r="M20" s="9">
        <f>IF(L20="","",L20-J20)</f>
        <v>-8927.76</v>
      </c>
      <c r="N20" s="10">
        <f>IF(OR(H20="",K20=""),"",K20/H20-1)</f>
        <v>-0.08937016073010595</v>
      </c>
      <c r="O20" s="6">
        <f>IF(G20="","",$B$3-G20)</f>
        <v>19</v>
      </c>
      <c r="P20" s="6" t="str">
        <f>IF(H20="","Pending buy",IF(N20&gt;=0,"In profit","In loss"))</f>
        <v>In loss</v>
      </c>
      <c r="Q20" s="6" t="n">
        <v>1</v>
      </c>
    </row>
    <row r="21">
      <c r="A21" s="6" t="n">
        <v>14</v>
      </c>
      <c r="B21" s="7" t="inlineStr">
        <is>
          <t>Senores Pharmaceuticals Limited</t>
        </is>
      </c>
      <c r="C21" s="6" t="inlineStr">
        <is>
          <t>SENORES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1400.7</v>
      </c>
      <c r="I21" s="6">
        <f>IF(H21="","",ROUNDDOWN($B$1/H21,0))</f>
        <v>71</v>
      </c>
      <c r="J21" s="9">
        <f>IF(H21="","",H21*I21)</f>
        <v>99449.47</v>
      </c>
      <c r="K21" s="9" t="n">
        <v>1245.5</v>
      </c>
      <c r="L21" s="9">
        <f>IF(OR(I21="",K21=""),"",K21*I21)</f>
        <v>88430.5</v>
      </c>
      <c r="M21" s="9">
        <f>IF(L21="","",L21-J21)</f>
        <v>-11018.97</v>
      </c>
      <c r="N21" s="10">
        <f>IF(OR(H21="",K21=""),"",K21/H21-1)</f>
        <v>-0.11079965277479642</v>
      </c>
      <c r="O21" s="6">
        <f>IF(G21="","",$B$3-G21)</f>
        <v>19</v>
      </c>
      <c r="P21" s="6" t="str">
        <f>IF(H21="","Pending buy",IF(N21&gt;=0,"In profit","In loss"))</f>
        <v>In loss</v>
      </c>
      <c r="Q21" s="6" t="n">
        <v>1</v>
      </c>
    </row>
    <row r="22">
      <c r="A22" s="6" t="n">
        <v>15</v>
      </c>
      <c r="B22" s="7" t="inlineStr">
        <is>
          <t>United Foodbrands Limited</t>
        </is>
      </c>
      <c r="C22" s="6" t="inlineStr">
        <is>
          <t>UFBL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693.3099999999999</v>
      </c>
      <c r="I22" s="6">
        <f>IF(H22="","",ROUNDDOWN($B$1/H22,0))</f>
        <v>144</v>
      </c>
      <c r="J22" s="9">
        <f>IF(H22="","",H22*I22)</f>
        <v>99837.05</v>
      </c>
      <c r="K22" s="9" t="n">
        <v>624.8</v>
      </c>
      <c r="L22" s="9">
        <f>IF(OR(I22="",K22=""),"",K22*I22)</f>
        <v>89971.2</v>
      </c>
      <c r="M22" s="9">
        <f>IF(L22="","",L22-J22)</f>
        <v>-9865.85</v>
      </c>
      <c r="N22" s="10">
        <f>IF(OR(H22="",K22=""),"",K22/H22-1)</f>
        <v>-0.09881953652799369</v>
      </c>
      <c r="O22" s="6">
        <f>IF(G22="","",$B$3-G22)</f>
        <v>19</v>
      </c>
      <c r="P22" s="6" t="str">
        <f>IF(H22="","Pending buy",IF(N22&gt;=0,"In profit","In loss"))</f>
        <v>In loss</v>
      </c>
      <c r="Q22" s="6" t="n">
        <v>1</v>
      </c>
    </row>
    <row r="23">
      <c r="A23" s="6" t="n">
        <v>16</v>
      </c>
      <c r="B23" s="7" t="inlineStr">
        <is>
          <t>Vishnu Chemicals Limited</t>
        </is>
      </c>
      <c r="C23" s="6" t="inlineStr">
        <is>
          <t>VISHNU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686.12</v>
      </c>
      <c r="I23" s="6">
        <f>IF(H23="","",ROUNDDOWN($B$1/H23,0))</f>
        <v>145</v>
      </c>
      <c r="J23" s="9">
        <f>IF(H23="","",H23*I23)</f>
        <v>99486.88</v>
      </c>
      <c r="K23" s="9" t="n">
        <v>560.35</v>
      </c>
      <c r="L23" s="9">
        <f>IF(OR(I23="",K23=""),"",K23*I23)</f>
        <v>81250.75</v>
      </c>
      <c r="M23" s="9">
        <f>IF(L23="","",L23-J23)</f>
        <v>-18236.13</v>
      </c>
      <c r="N23" s="10">
        <f>IF(OR(H23="",K23=""),"",K23/H23-1)</f>
        <v>-0.18330186826514983</v>
      </c>
      <c r="O23" s="6">
        <f>IF(G23="","",$B$3-G23)</f>
        <v>19</v>
      </c>
      <c r="P23" s="6" t="str">
        <f>IF(H23="","Pending buy",IF(N23&gt;=0,"In profit","In loss"))</f>
        <v>In loss</v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>439</v>
      </c>
      <c r="J24" s="9">
        <f>IF(H24="","",H24*I24)</f>
        <v>99935.4</v>
      </c>
      <c r="K24" s="9" t="n">
        <v>210.37</v>
      </c>
      <c r="L24" s="9">
        <f>IF(OR(I24="",K24=""),"",K24*I24)</f>
        <v>92352.43</v>
      </c>
      <c r="M24" s="9">
        <f>IF(L24="","",L24-J24)</f>
        <v>-7582.97</v>
      </c>
      <c r="N24" s="10">
        <f>IF(OR(H24="",K24=""),"",K24/H24-1)</f>
        <v>-0.07587870473328329</v>
      </c>
      <c r="O24" s="6">
        <f>IF(G24="","",$B$3-G24)</f>
        <v>18</v>
      </c>
      <c r="P24" s="6" t="str">
        <f>IF(H24="","Pending buy",IF(N24&gt;=0,"In profit","In loss"))</f>
        <v>In loss</v>
      </c>
      <c r="Q24" s="6" t="n">
        <v>1</v>
      </c>
    </row>
    <row r="25">
      <c r="A25" s="6" t="n">
        <v>18</v>
      </c>
      <c r="B25" s="7" t="inlineStr">
        <is>
          <t>Mayur Uniquoters Ltd</t>
        </is>
      </c>
      <c r="C25" s="6" t="inlineStr">
        <is>
          <t>MAYURUNIQ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8" t="n">
        <v>46307</v>
      </c>
      <c r="H25" s="9" t="n">
        <v>803.41</v>
      </c>
      <c r="I25" s="6">
        <f>IF(H25="","",ROUNDDOWN($B$1/H25,0))</f>
        <v>124</v>
      </c>
      <c r="J25" s="9">
        <f>IF(H25="","",H25*I25)</f>
        <v>99622.64</v>
      </c>
      <c r="K25" s="9" t="n">
        <v>713.55</v>
      </c>
      <c r="L25" s="9">
        <f>IF(OR(I25="",K25=""),"",K25*I25)</f>
        <v>88480.2</v>
      </c>
      <c r="M25" s="9">
        <f>IF(L25="","",L25-J25)</f>
        <v>-11142.44</v>
      </c>
      <c r="N25" s="10">
        <f>IF(OR(H25="",K25=""),"",K25/H25-1)</f>
        <v>-0.11184643164989339</v>
      </c>
      <c r="O25" s="6">
        <f>IF(G25="","",$B$3-G25)</f>
        <v>14</v>
      </c>
      <c r="P25" s="6" t="str">
        <f>IF(H25="","Pending buy",IF(N25&gt;=0,"In profit","In loss"))</f>
        <v>In loss</v>
      </c>
      <c r="Q25" s="6" t="n">
        <v>1</v>
      </c>
    </row>
    <row r="26">
      <c r="A26" s="6" t="n">
        <v>19</v>
      </c>
      <c r="B26" s="7" t="inlineStr">
        <is>
          <t>Ujaas Energy Limited</t>
        </is>
      </c>
      <c r="C26" s="6" t="inlineStr">
        <is>
          <t>UEL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8" t="n">
        <v>46307</v>
      </c>
      <c r="H26" s="9" t="n">
        <v>210.42</v>
      </c>
      <c r="I26" s="6">
        <f>IF(H26="","",ROUNDDOWN($B$1/H26,0))</f>
        <v>475</v>
      </c>
      <c r="J26" s="9">
        <f>IF(H26="","",H26*I26)</f>
        <v>99948.17</v>
      </c>
      <c r="K26" s="9" t="n">
        <v>170.94</v>
      </c>
      <c r="L26" s="9">
        <f>IF(OR(I26="",K26=""),"",K26*I26)</f>
        <v>81196.5</v>
      </c>
      <c r="M26" s="9">
        <f>IF(L26="","",L26-J26)</f>
        <v>-18751.67</v>
      </c>
      <c r="N26" s="10">
        <f>IF(OR(H26="",K26=""),"",K26/H26-1)</f>
        <v>-0.18761391327941535</v>
      </c>
      <c r="O26" s="6">
        <f>IF(G26="","",$B$3-G26)</f>
        <v>14</v>
      </c>
      <c r="P26" s="6" t="str">
        <f>IF(H26="","Pending buy",IF(N26&gt;=0,"In profit","In loss"))</f>
        <v>In loss</v>
      </c>
      <c r="Q26" s="6" t="n">
        <v>1</v>
      </c>
    </row>
    <row r="27">
      <c r="A27" s="6" t="n">
        <v>20</v>
      </c>
      <c r="B27" s="7" t="inlineStr">
        <is>
          <t>Commercial Syn Bags Limited</t>
        </is>
      </c>
      <c r="C27" s="6" t="inlineStr">
        <is>
          <t>COMSYN</t>
        </is>
      </c>
      <c r="D27" s="6" t="inlineStr">
        <is>
          <t>5★</t>
        </is>
      </c>
      <c r="E27" s="6" t="inlineStr">
        <is>
          <t>121026</t>
        </is>
      </c>
      <c r="F27" s="8" t="n">
        <v>46307</v>
      </c>
      <c r="G27" s="8" t="n">
        <v>46308</v>
      </c>
      <c r="H27" s="9" t="n">
        <v>261.11</v>
      </c>
      <c r="I27" s="6">
        <f>IF(H27="","",ROUNDDOWN($B$1/H27,0))</f>
        <v>382</v>
      </c>
      <c r="J27" s="9">
        <f>IF(H27="","",H27*I27)</f>
        <v>99745.27</v>
      </c>
      <c r="K27" s="9" t="n">
        <v>208.45</v>
      </c>
      <c r="L27" s="9">
        <f>IF(OR(I27="",K27=""),"",K27*I27)</f>
        <v>79627.9</v>
      </c>
      <c r="M27" s="9">
        <f>IF(L27="","",L27-J27)</f>
        <v>-20117.37</v>
      </c>
      <c r="N27" s="10">
        <f>IF(OR(H27="",K27=""),"",K27/H27-1)</f>
        <v>-0.20168748215333965</v>
      </c>
      <c r="O27" s="6">
        <f>IF(G27="","",$B$3-G27)</f>
        <v>13</v>
      </c>
      <c r="P27" s="6" t="str">
        <f>IF(H27="","Pending buy",IF(N27&gt;=0,"In profit","In loss"))</f>
        <v>In loss</v>
      </c>
      <c r="Q27" s="6" t="n">
        <v>1</v>
      </c>
    </row>
    <row r="28">
      <c r="A28" s="6" t="n">
        <v>21</v>
      </c>
      <c r="B28" s="7" t="inlineStr">
        <is>
          <t>Craftsman Automation Limited</t>
        </is>
      </c>
      <c r="C28" s="6" t="inlineStr">
        <is>
          <t>CRAFTSMAN</t>
        </is>
      </c>
      <c r="D28" s="6" t="inlineStr">
        <is>
          <t>5★</t>
        </is>
      </c>
      <c r="E28" s="6" t="inlineStr">
        <is>
          <t>121026</t>
        </is>
      </c>
      <c r="F28" s="8" t="n">
        <v>46307</v>
      </c>
      <c r="G28" s="8" t="n">
        <v>46308</v>
      </c>
      <c r="H28" s="9" t="n">
        <v>10592.76</v>
      </c>
      <c r="I28" s="6">
        <f>IF(H28="","",ROUNDDOWN($B$1/H28,0))</f>
        <v>9</v>
      </c>
      <c r="J28" s="9">
        <f>IF(H28="","",H28*I28)</f>
        <v>95334.84</v>
      </c>
      <c r="K28" s="9" t="n">
        <v>10726</v>
      </c>
      <c r="L28" s="9">
        <f>IF(OR(I28="",K28=""),"",K28*I28)</f>
        <v>96534.0</v>
      </c>
      <c r="M28" s="9">
        <f>IF(L28="","",L28-J28)</f>
        <v>1199.16</v>
      </c>
      <c r="N28" s="10">
        <f>IF(OR(H28="",K28=""),"",K28/H28-1)</f>
        <v>0.012578377179710776</v>
      </c>
      <c r="O28" s="6">
        <f>IF(G28="","",$B$3-G28)</f>
        <v>13</v>
      </c>
      <c r="P28" s="6" t="str">
        <f>IF(H28="","Pending buy",IF(N28&gt;=0,"In profit","In loss"))</f>
        <v>In profit</v>
      </c>
      <c r="Q28" s="6" t="n">
        <v>1</v>
      </c>
    </row>
    <row r="29">
      <c r="A29" s="6" t="n">
        <v>22</v>
      </c>
      <c r="B29" s="7" t="inlineStr">
        <is>
          <t>Happy Forgings Limited</t>
        </is>
      </c>
      <c r="C29" s="6" t="inlineStr">
        <is>
          <t>HAPPYFORGE</t>
        </is>
      </c>
      <c r="D29" s="6" t="inlineStr">
        <is>
          <t>5★</t>
        </is>
      </c>
      <c r="E29" s="6" t="inlineStr">
        <is>
          <t>121026</t>
        </is>
      </c>
      <c r="F29" s="8" t="n">
        <v>46307</v>
      </c>
      <c r="G29" s="8" t="n">
        <v>46308</v>
      </c>
      <c r="H29" s="9" t="n">
        <v>1933.31</v>
      </c>
      <c r="I29" s="6">
        <f>IF(H29="","",ROUNDDOWN($B$1/H29,0))</f>
        <v>51</v>
      </c>
      <c r="J29" s="9">
        <f>IF(H29="","",H29*I29)</f>
        <v>98598.59</v>
      </c>
      <c r="K29" s="9" t="n">
        <v>1758.4</v>
      </c>
      <c r="L29" s="9">
        <f>IF(OR(I29="",K29=""),"",K29*I29)</f>
        <v>89678.4</v>
      </c>
      <c r="M29" s="9">
        <f>IF(L29="","",L29-J29)</f>
        <v>-8920.19</v>
      </c>
      <c r="N29" s="10">
        <f>IF(OR(H29="",K29=""),"",K29/H29-1)</f>
        <v>-0.09046971768141243</v>
      </c>
      <c r="O29" s="6">
        <f>IF(G29="","",$B$3-G29)</f>
        <v>13</v>
      </c>
      <c r="P29" s="6" t="str">
        <f>IF(H29="","Pending buy",IF(N29&gt;=0,"In profit","In loss"))</f>
        <v>In loss</v>
      </c>
      <c r="Q29" s="6" t="n">
        <v>1</v>
      </c>
    </row>
    <row r="30">
      <c r="A30" s="6" t="n">
        <v>23</v>
      </c>
      <c r="B30" s="7" t="inlineStr">
        <is>
          <t>Viji Finance Limited</t>
        </is>
      </c>
      <c r="C30" s="6" t="inlineStr">
        <is>
          <t>VIJIFIN</t>
        </is>
      </c>
      <c r="D30" s="6" t="inlineStr">
        <is>
          <t>5★</t>
        </is>
      </c>
      <c r="E30" s="6" t="inlineStr">
        <is>
          <t>121026</t>
        </is>
      </c>
      <c r="F30" s="8" t="n">
        <v>46307</v>
      </c>
      <c r="G30" s="8" t="n">
        <v>46308</v>
      </c>
      <c r="H30" s="9" t="n">
        <v>14.83</v>
      </c>
      <c r="I30" s="6">
        <f>IF(H30="","",ROUNDDOWN($B$1/H30,0))</f>
        <v>6743</v>
      </c>
      <c r="J30" s="9">
        <f>IF(H30="","",H30*I30)</f>
        <v>99998.69</v>
      </c>
      <c r="K30" s="9" t="n">
        <v>15.69</v>
      </c>
      <c r="L30" s="9">
        <f>IF(OR(I30="",K30=""),"",K30*I30)</f>
        <v>105797.67</v>
      </c>
      <c r="M30" s="9">
        <f>IF(L30="","",L30-J30)</f>
        <v>5798.98</v>
      </c>
      <c r="N30" s="10">
        <f>IF(OR(H30="",K30=""),"",K30/H30-1)</f>
        <v>0.05799055967633171</v>
      </c>
      <c r="O30" s="6">
        <f>IF(G30="","",$B$3-G30)</f>
        <v>13</v>
      </c>
      <c r="P30" s="6" t="str">
        <f>IF(H30="","Pending buy",IF(N30&gt;=0,"In profit","In loss"))</f>
        <v>In profit</v>
      </c>
      <c r="Q30" s="6" t="n">
        <v>1</v>
      </c>
    </row>
    <row r="31">
      <c r="A31" s="6" t="n">
        <v>24</v>
      </c>
      <c r="B31" s="7" t="inlineStr">
        <is>
          <t>Gujarat Ambuja Exports Limited</t>
        </is>
      </c>
      <c r="C31" s="6" t="inlineStr">
        <is>
          <t>GAEL</t>
        </is>
      </c>
      <c r="D31" s="6" t="inlineStr">
        <is>
          <t>4★</t>
        </is>
      </c>
      <c r="E31" s="6" t="inlineStr">
        <is>
          <t>131026</t>
        </is>
      </c>
      <c r="F31" s="8" t="n">
        <v>46308</v>
      </c>
      <c r="G31" s="8" t="n">
        <v>46309</v>
      </c>
      <c r="H31" s="9" t="n">
        <v>177.26</v>
      </c>
      <c r="I31" s="6">
        <f>IF(H31="","",ROUNDDOWN($B$1/H31,0))</f>
        <v>564</v>
      </c>
      <c r="J31" s="9">
        <f>IF(H31="","",H31*I31)</f>
        <v>99977.34</v>
      </c>
      <c r="K31" s="9" t="n">
        <v>141.07</v>
      </c>
      <c r="L31" s="9">
        <f>IF(OR(I31="",K31=""),"",K31*I31)</f>
        <v>79563.48</v>
      </c>
      <c r="M31" s="9">
        <f>IF(L31="","",L31-J31)</f>
        <v>-20413.86</v>
      </c>
      <c r="N31" s="10">
        <f>IF(OR(H31="",K31=""),"",K31/H31-1)</f>
        <v>-0.20418485377219653</v>
      </c>
      <c r="O31" s="6">
        <f>IF(G31="","",$B$3-G31)</f>
        <v>12</v>
      </c>
      <c r="P31" s="6" t="str">
        <f>IF(H31="","Pending buy",IF(N31&gt;=0,"In profit","In loss"))</f>
        <v>In loss</v>
      </c>
      <c r="Q31" s="6" t="n">
        <v>1</v>
      </c>
    </row>
    <row r="32">
      <c r="A32" s="6" t="n">
        <v>25</v>
      </c>
      <c r="B32" s="7" t="inlineStr">
        <is>
          <t>Kanoria Chemicals &amp; Industries Limited</t>
        </is>
      </c>
      <c r="C32" s="6" t="inlineStr">
        <is>
          <t>KANORICHEM</t>
        </is>
      </c>
      <c r="D32" s="6" t="inlineStr">
        <is>
          <t>5★</t>
        </is>
      </c>
      <c r="E32" s="6" t="inlineStr">
        <is>
          <t>131026</t>
        </is>
      </c>
      <c r="F32" s="8" t="n">
        <v>46308</v>
      </c>
      <c r="G32" s="8" t="n">
        <v>46309</v>
      </c>
      <c r="H32" s="9" t="n">
        <v>176.86</v>
      </c>
      <c r="I32" s="6">
        <f>IF(H32="","",ROUNDDOWN($B$1/H32,0))</f>
        <v>565</v>
      </c>
      <c r="J32" s="9">
        <f>IF(H32="","",H32*I32)</f>
        <v>99923.82</v>
      </c>
      <c r="K32" s="9" t="n">
        <v>176.23</v>
      </c>
      <c r="L32" s="9">
        <f>IF(OR(I32="",K32=""),"",K32*I32)</f>
        <v>99569.95</v>
      </c>
      <c r="M32" s="9">
        <f>IF(L32="","",L32-J32)</f>
        <v>-353.87</v>
      </c>
      <c r="N32" s="10">
        <f>IF(OR(H32="",K32=""),"",K32/H32-1)</f>
        <v>-0.003541394546051735</v>
      </c>
      <c r="O32" s="6">
        <f>IF(G32="","",$B$3-G32)</f>
        <v>12</v>
      </c>
      <c r="P32" s="6" t="str">
        <f>IF(H32="","Pending buy",IF(N32&gt;=0,"In profit","In loss"))</f>
        <v>In loss</v>
      </c>
      <c r="Q32" s="6" t="n">
        <v>1</v>
      </c>
    </row>
    <row r="33">
      <c r="A33" s="6" t="n">
        <v>26</v>
      </c>
      <c r="B33" s="7" t="inlineStr">
        <is>
          <t>Kapston Services Limited</t>
        </is>
      </c>
      <c r="C33" s="6" t="inlineStr">
        <is>
          <t>KAPSTON</t>
        </is>
      </c>
      <c r="D33" s="6" t="inlineStr">
        <is>
          <t>5★</t>
        </is>
      </c>
      <c r="E33" s="6" t="inlineStr">
        <is>
          <t>131026</t>
        </is>
      </c>
      <c r="F33" s="8" t="n">
        <v>46308</v>
      </c>
      <c r="G33" s="8" t="n">
        <v>46309</v>
      </c>
      <c r="H33" s="9" t="n">
        <v>527.03</v>
      </c>
      <c r="I33" s="6">
        <f>IF(H33="","",ROUNDDOWN($B$1/H33,0))</f>
        <v>189</v>
      </c>
      <c r="J33" s="9">
        <f>IF(H33="","",H33*I33)</f>
        <v>99608.58</v>
      </c>
      <c r="K33" s="9" t="n">
        <v>522.8</v>
      </c>
      <c r="L33" s="9">
        <f>IF(OR(I33="",K33=""),"",K33*I33)</f>
        <v>98809.2</v>
      </c>
      <c r="M33" s="9">
        <f>IF(L33="","",L33-J33)</f>
        <v>-799.38</v>
      </c>
      <c r="N33" s="10">
        <f>IF(OR(H33="",K33=""),"",K33/H33-1)</f>
        <v>-0.008025163707250482</v>
      </c>
      <c r="O33" s="6">
        <f>IF(G33="","",$B$3-G33)</f>
        <v>12</v>
      </c>
      <c r="P33" s="6" t="str">
        <f>IF(H33="","Pending buy",IF(N33&gt;=0,"In profit","In loss"))</f>
        <v>In loss</v>
      </c>
      <c r="Q33" s="6" t="n">
        <v>2</v>
      </c>
    </row>
    <row r="34">
      <c r="A34" s="6" t="n">
        <v>27</v>
      </c>
      <c r="B34" s="7" t="inlineStr">
        <is>
          <t>Netweb Technologies India Limited</t>
        </is>
      </c>
      <c r="C34" s="6" t="inlineStr">
        <is>
          <t>NETWEB</t>
        </is>
      </c>
      <c r="D34" s="6" t="inlineStr">
        <is>
          <t>4★</t>
        </is>
      </c>
      <c r="E34" s="6" t="inlineStr">
        <is>
          <t>131026</t>
        </is>
      </c>
      <c r="F34" s="8" t="n">
        <v>46308</v>
      </c>
      <c r="G34" s="8" t="n">
        <v>46309</v>
      </c>
      <c r="H34" s="9" t="n">
        <v>5054.23</v>
      </c>
      <c r="I34" s="6">
        <f>IF(H34="","",ROUNDDOWN($B$1/H34,0))</f>
        <v>19</v>
      </c>
      <c r="J34" s="9">
        <f>IF(H34="","",H34*I34)</f>
        <v>96030.46</v>
      </c>
      <c r="K34" s="9" t="n">
        <v>4286</v>
      </c>
      <c r="L34" s="9">
        <f>IF(OR(I34="",K34=""),"",K34*I34)</f>
        <v>81434.0</v>
      </c>
      <c r="M34" s="9">
        <f>IF(L34="","",L34-J34)</f>
        <v>-14596.46</v>
      </c>
      <c r="N34" s="10">
        <f>IF(OR(H34="",K34=""),"",K34/H34-1)</f>
        <v>-0.15199823696357673</v>
      </c>
      <c r="O34" s="6">
        <f>IF(G34="","",$B$3-G34)</f>
        <v>12</v>
      </c>
      <c r="P34" s="6" t="str">
        <f>IF(H34="","Pending buy",IF(N34&gt;=0,"In profit","In loss"))</f>
        <v>In loss</v>
      </c>
      <c r="Q34" s="6" t="n">
        <v>1</v>
      </c>
    </row>
    <row r="35">
      <c r="A35" s="6" t="n">
        <v>28</v>
      </c>
      <c r="B35" s="7" t="inlineStr">
        <is>
          <t>CCL Products (India) Limited</t>
        </is>
      </c>
      <c r="C35" s="6" t="inlineStr">
        <is>
          <t>CCL</t>
        </is>
      </c>
      <c r="D35" s="6" t="inlineStr">
        <is>
          <t>4★</t>
        </is>
      </c>
      <c r="E35" s="6" t="inlineStr">
        <is>
          <t>141026</t>
        </is>
      </c>
      <c r="F35" s="8" t="n">
        <v>46309</v>
      </c>
      <c r="G35" s="8" t="n">
        <v>46310</v>
      </c>
      <c r="H35" s="9" t="n">
        <v>1088.82</v>
      </c>
      <c r="I35" s="6">
        <f>IF(H35="","",ROUNDDOWN($B$1/H35,0))</f>
        <v>91</v>
      </c>
      <c r="J35" s="9">
        <f>IF(H35="","",H35*I35)</f>
        <v>99082.89</v>
      </c>
      <c r="K35" s="9" t="n">
        <v>903.2</v>
      </c>
      <c r="L35" s="9">
        <f>IF(OR(I35="",K35=""),"",K35*I35)</f>
        <v>82191.2</v>
      </c>
      <c r="M35" s="9">
        <f>IF(L35="","",L35-J35)</f>
        <v>-16891.69</v>
      </c>
      <c r="N35" s="10">
        <f>IF(OR(H35="",K35=""),"",K35/H35-1)</f>
        <v>-0.17048041784569212</v>
      </c>
      <c r="O35" s="6">
        <f>IF(G35="","",$B$3-G35)</f>
        <v>11</v>
      </c>
      <c r="P35" s="6" t="str">
        <f>IF(H35="","Pending buy",IF(N35&gt;=0,"In profit","In loss"))</f>
        <v>In loss</v>
      </c>
      <c r="Q35" s="6" t="n">
        <v>1</v>
      </c>
    </row>
    <row r="36">
      <c r="A36" s="6" t="n">
        <v>29</v>
      </c>
      <c r="B36" s="7" t="inlineStr">
        <is>
          <t>Jayaswal Neco Industries Limited</t>
        </is>
      </c>
      <c r="C36" s="6" t="inlineStr">
        <is>
          <t>JAYNECOIND</t>
        </is>
      </c>
      <c r="D36" s="6" t="inlineStr">
        <is>
          <t>4★</t>
        </is>
      </c>
      <c r="E36" s="6" t="inlineStr">
        <is>
          <t>141026</t>
        </is>
      </c>
      <c r="F36" s="8" t="n">
        <v>46309</v>
      </c>
      <c r="G36" s="8" t="n">
        <v>46310</v>
      </c>
      <c r="H36" s="9" t="n">
        <v>97.47</v>
      </c>
      <c r="I36" s="6">
        <f>IF(H36="","",ROUNDDOWN($B$1/H36,0))</f>
        <v>1025</v>
      </c>
      <c r="J36" s="9">
        <f>IF(H36="","",H36*I36)</f>
        <v>99910.57</v>
      </c>
      <c r="K36" s="9" t="n">
        <v>88.64</v>
      </c>
      <c r="L36" s="9">
        <f>IF(OR(I36="",K36=""),"",K36*I36)</f>
        <v>90856.0</v>
      </c>
      <c r="M36" s="9">
        <f>IF(L36="","",L36-J36)</f>
        <v>-9054.57</v>
      </c>
      <c r="N36" s="10">
        <f>IF(OR(H36="",K36=""),"",K36/H36-1)</f>
        <v>-0.09062675842253609</v>
      </c>
      <c r="O36" s="6">
        <f>IF(G36="","",$B$3-G36)</f>
        <v>11</v>
      </c>
      <c r="P36" s="6" t="str">
        <f>IF(H36="","Pending buy",IF(N36&gt;=0,"In profit","In loss"))</f>
        <v>In loss</v>
      </c>
      <c r="Q36" s="6" t="n">
        <v>1</v>
      </c>
    </row>
    <row r="37">
      <c r="A37" s="6" t="n">
        <v>30</v>
      </c>
      <c r="B37" s="7" t="inlineStr">
        <is>
          <t>Sakar Healthcare Limited</t>
        </is>
      </c>
      <c r="C37" s="6" t="inlineStr">
        <is>
          <t>SAKAR</t>
        </is>
      </c>
      <c r="D37" s="6" t="inlineStr">
        <is>
          <t>5★</t>
        </is>
      </c>
      <c r="E37" s="6" t="inlineStr">
        <is>
          <t>141026</t>
        </is>
      </c>
      <c r="F37" s="8" t="n">
        <v>46309</v>
      </c>
      <c r="G37" s="8" t="n">
        <v>46310</v>
      </c>
      <c r="H37" s="9" t="n">
        <v>994.37</v>
      </c>
      <c r="I37" s="6">
        <f>IF(H37="","",ROUNDDOWN($B$1/H37,0))</f>
        <v>100</v>
      </c>
      <c r="J37" s="9">
        <f>IF(H37="","",H37*I37)</f>
        <v>99436.51</v>
      </c>
      <c r="K37" s="9" t="n">
        <v>970.8</v>
      </c>
      <c r="L37" s="9">
        <f>IF(OR(I37="",K37=""),"",K37*I37)</f>
        <v>97080.0</v>
      </c>
      <c r="M37" s="9">
        <f>IF(L37="","",L37-J37)</f>
        <v>-2356.51</v>
      </c>
      <c r="N37" s="10">
        <f>IF(OR(H37="",K37=""),"",K37/H37-1)</f>
        <v>-0.023698667936695172</v>
      </c>
      <c r="O37" s="6">
        <f>IF(G37="","",$B$3-G37)</f>
        <v>11</v>
      </c>
      <c r="P37" s="6" t="str">
        <f>IF(H37="","Pending buy",IF(N37&gt;=0,"In profit","In loss"))</f>
        <v>In loss</v>
      </c>
      <c r="Q37" s="6" t="n">
        <v>1</v>
      </c>
    </row>
    <row r="38">
      <c r="A38" s="6" t="n">
        <v>31</v>
      </c>
      <c r="B38" s="7" t="inlineStr">
        <is>
          <t>Tamilnadu PetroProducts Limited</t>
        </is>
      </c>
      <c r="C38" s="6" t="inlineStr">
        <is>
          <t>TNPETRO</t>
        </is>
      </c>
      <c r="D38" s="6" t="inlineStr">
        <is>
          <t>5★</t>
        </is>
      </c>
      <c r="E38" s="6" t="inlineStr">
        <is>
          <t>141026</t>
        </is>
      </c>
      <c r="F38" s="8" t="n">
        <v>46309</v>
      </c>
      <c r="G38" s="8" t="n">
        <v>46310</v>
      </c>
      <c r="H38" s="9" t="n">
        <v>122.04</v>
      </c>
      <c r="I38" s="6">
        <f>IF(H38="","",ROUNDDOWN($B$1/H38,0))</f>
        <v>819</v>
      </c>
      <c r="J38" s="9">
        <f>IF(H38="","",H38*I38)</f>
        <v>99951.48</v>
      </c>
      <c r="K38" s="9" t="n">
        <v>112.6</v>
      </c>
      <c r="L38" s="9">
        <f>IF(OR(I38="",K38=""),"",K38*I38)</f>
        <v>92219.4</v>
      </c>
      <c r="M38" s="9">
        <f>IF(L38="","",L38-J38)</f>
        <v>-7732.08</v>
      </c>
      <c r="N38" s="10">
        <f>IF(OR(H38="",K38=""),"",K38/H38-1)</f>
        <v>-0.07735833334992626</v>
      </c>
      <c r="O38" s="6">
        <f>IF(G38="","",$B$3-G38)</f>
        <v>11</v>
      </c>
      <c r="P38" s="6" t="str">
        <f>IF(H38="","Pending buy",IF(N38&gt;=0,"In profit","In loss"))</f>
        <v>In loss</v>
      </c>
      <c r="Q38" s="6" t="n">
        <v>1</v>
      </c>
    </row>
    <row r="39">
      <c r="A39" s="6" t="n">
        <v>32</v>
      </c>
      <c r="B39" s="7" t="inlineStr">
        <is>
          <t>Authum Investment &amp; Infrastructure Limited</t>
        </is>
      </c>
      <c r="C39" s="6" t="inlineStr">
        <is>
          <t>AIIL</t>
        </is>
      </c>
      <c r="D39" s="6" t="inlineStr">
        <is>
          <t>4★</t>
        </is>
      </c>
      <c r="E39" s="6" t="inlineStr">
        <is>
          <t>161026</t>
        </is>
      </c>
      <c r="F39" s="8" t="n">
        <v>46311</v>
      </c>
      <c r="G39" s="8" t="n">
        <v>46314</v>
      </c>
      <c r="H39" s="9" t="n">
        <v>556.8</v>
      </c>
      <c r="I39" s="6">
        <f>IF(H39="","",ROUNDDOWN($B$1/H39,0))</f>
        <v>179</v>
      </c>
      <c r="J39" s="9">
        <f>IF(H39="","",H39*I39)</f>
        <v>99666.78</v>
      </c>
      <c r="K39" s="9" t="n">
        <v>486.75</v>
      </c>
      <c r="L39" s="9">
        <f>IF(OR(I39="",K39=""),"",K39*I39)</f>
        <v>87128.25</v>
      </c>
      <c r="M39" s="9">
        <f>IF(L39="","",L39-J39)</f>
        <v>-12538.53</v>
      </c>
      <c r="N39" s="10">
        <f>IF(OR(H39="",K39=""),"",K39/H39-1)</f>
        <v>-0.1258044718121215</v>
      </c>
      <c r="O39" s="6">
        <f>IF(G39="","",$B$3-G39)</f>
        <v>7</v>
      </c>
      <c r="P39" s="6" t="str">
        <f>IF(H39="","Pending buy",IF(N39&gt;=0,"In profit","In loss"))</f>
        <v>In loss</v>
      </c>
      <c r="Q39" s="6" t="n">
        <v>1</v>
      </c>
    </row>
    <row r="40">
      <c r="A40" s="6" t="n">
        <v>33</v>
      </c>
      <c r="B40" s="7" t="inlineStr">
        <is>
          <t>Kesoram Industries Limited</t>
        </is>
      </c>
      <c r="C40" s="6" t="inlineStr">
        <is>
          <t>KESORAMIND</t>
        </is>
      </c>
      <c r="D40" s="6" t="inlineStr">
        <is>
          <t>4★</t>
        </is>
      </c>
      <c r="E40" s="6" t="inlineStr">
        <is>
          <t>161026</t>
        </is>
      </c>
      <c r="F40" s="8" t="n">
        <v>46311</v>
      </c>
      <c r="G40" s="8" t="n">
        <v>46314</v>
      </c>
      <c r="H40" s="9" t="n">
        <v>12.96</v>
      </c>
      <c r="I40" s="6">
        <f>IF(H40="","",ROUNDDOWN($B$1/H40,0))</f>
        <v>7718</v>
      </c>
      <c r="J40" s="9">
        <f>IF(H40="","",H40*I40)</f>
        <v>99998.64</v>
      </c>
      <c r="K40" s="9" t="n">
        <v>12.23</v>
      </c>
      <c r="L40" s="9">
        <f>IF(OR(I40="",K40=""),"",K40*I40)</f>
        <v>94391.14</v>
      </c>
      <c r="M40" s="9">
        <f>IF(L40="","",L40-J40)</f>
        <v>-5607.5</v>
      </c>
      <c r="N40" s="10">
        <f>IF(OR(H40="",K40=""),"",K40/H40-1)</f>
        <v>-0.0560757386921269</v>
      </c>
      <c r="O40" s="6">
        <f>IF(G40="","",$B$3-G40)</f>
        <v>7</v>
      </c>
      <c r="P40" s="6" t="str">
        <f>IF(H40="","Pending buy",IF(N40&gt;=0,"In profit","In loss"))</f>
        <v>In loss</v>
      </c>
      <c r="Q40" s="6" t="n">
        <v>1</v>
      </c>
    </row>
    <row r="41">
      <c r="A41" s="6" t="n">
        <v>34</v>
      </c>
      <c r="B41" s="7" t="inlineStr">
        <is>
          <t>AvenuesAI Limited</t>
        </is>
      </c>
      <c r="C41" s="6" t="inlineStr">
        <is>
          <t>CCAVENUE</t>
        </is>
      </c>
      <c r="D41" s="6" t="inlineStr">
        <is>
          <t>5★</t>
        </is>
      </c>
      <c r="E41" s="6" t="inlineStr">
        <is>
          <t>191026</t>
        </is>
      </c>
      <c r="F41" s="8" t="n">
        <v>46314</v>
      </c>
      <c r="G41" s="8" t="n">
        <v>46316</v>
      </c>
      <c r="H41" s="9" t="n">
        <v>125.65</v>
      </c>
      <c r="I41" s="6">
        <f>IF(H41="","",ROUNDDOWN($B$1/H41,0))</f>
        <v>795</v>
      </c>
      <c r="J41" s="9">
        <f>IF(H41="","",H41*I41)</f>
        <v>99889.82</v>
      </c>
      <c r="K41" s="9" t="n">
        <v>119.81</v>
      </c>
      <c r="L41" s="9">
        <f>IF(OR(I41="",K41=""),"",K41*I41)</f>
        <v>95248.95</v>
      </c>
      <c r="M41" s="9">
        <f>IF(L41="","",L41-J41)</f>
        <v>-4640.87</v>
      </c>
      <c r="N41" s="10">
        <f>IF(OR(H41="",K41=""),"",K41/H41-1)</f>
        <v>-0.04645987943531349</v>
      </c>
      <c r="O41" s="6">
        <f>IF(G41="","",$B$3-G41)</f>
        <v>5</v>
      </c>
      <c r="P41" s="6" t="str">
        <f>IF(H41="","Pending buy",IF(N41&gt;=0,"In profit","In loss"))</f>
        <v>In loss</v>
      </c>
      <c r="Q41" s="6" t="n">
        <v>2</v>
      </c>
    </row>
    <row r="42">
      <c r="A42" s="6" t="n">
        <v>35</v>
      </c>
      <c r="B42" s="7" t="inlineStr">
        <is>
          <t>Pashupati Cotspin Limited</t>
        </is>
      </c>
      <c r="C42" s="6" t="inlineStr">
        <is>
          <t>PASHUPATI</t>
        </is>
      </c>
      <c r="D42" s="6" t="inlineStr">
        <is>
          <t>4★</t>
        </is>
      </c>
      <c r="E42" s="6" t="inlineStr">
        <is>
          <t>191026</t>
        </is>
      </c>
      <c r="F42" s="8" t="n">
        <v>46314</v>
      </c>
      <c r="G42" s="8" t="n">
        <v>46316</v>
      </c>
      <c r="H42" s="9" t="n">
        <v>94</v>
      </c>
      <c r="I42" s="6">
        <f>IF(H42="","",ROUNDDOWN($B$1/H42,0))</f>
        <v>1063</v>
      </c>
      <c r="J42" s="9">
        <f>IF(H42="","",H42*I42)</f>
        <v>99925.2</v>
      </c>
      <c r="K42" s="9" t="n">
        <v>109.87</v>
      </c>
      <c r="L42" s="9">
        <f>IF(OR(I42="",K42=""),"",K42*I42)</f>
        <v>116791.81</v>
      </c>
      <c r="M42" s="9">
        <f>IF(L42="","",L42-J42)</f>
        <v>16866.61</v>
      </c>
      <c r="N42" s="10">
        <f>IF(OR(H42="",K42=""),"",K42/H42-1)</f>
        <v>0.168792373444131</v>
      </c>
      <c r="O42" s="6">
        <f>IF(G42="","",$B$3-G42)</f>
        <v>5</v>
      </c>
      <c r="P42" s="6" t="str">
        <f>IF(H42="","Pending buy",IF(N42&gt;=0,"In profit","In loss"))</f>
        <v>In profit</v>
      </c>
      <c r="Q42" s="6" t="n">
        <v>2</v>
      </c>
    </row>
    <row r="43">
      <c r="A43" s="6" t="n">
        <v>36</v>
      </c>
      <c r="B43" s="7" t="inlineStr">
        <is>
          <t>Bliss GVS Pharma Limited</t>
        </is>
      </c>
      <c r="C43" s="6" t="inlineStr">
        <is>
          <t>BLISSGVS</t>
        </is>
      </c>
      <c r="D43" s="6" t="inlineStr">
        <is>
          <t>5★</t>
        </is>
      </c>
      <c r="E43" s="6" t="inlineStr">
        <is>
          <t>221026</t>
        </is>
      </c>
      <c r="F43" s="8" t="n">
        <v>46317</v>
      </c>
      <c r="G43" s="8" t="n">
        <v>46318</v>
      </c>
      <c r="H43" s="9" t="n">
        <v>633.09</v>
      </c>
      <c r="I43" s="6">
        <f>IF(H43="","",ROUNDDOWN($B$1/H43,0))</f>
        <v>157</v>
      </c>
      <c r="J43" s="9">
        <f>IF(H43="","",H43*I43)</f>
        <v>99394.67</v>
      </c>
      <c r="K43" s="9" t="n">
        <v>620.05</v>
      </c>
      <c r="L43" s="9">
        <f>IF(OR(I43="",K43=""),"",K43*I43)</f>
        <v>97347.85</v>
      </c>
      <c r="M43" s="9">
        <f>IF(L43="","",L43-J43)</f>
        <v>-2046.82</v>
      </c>
      <c r="N43" s="10">
        <f>IF(OR(H43="",K43=""),"",K43/H43-1)</f>
        <v>-0.020592876287458872</v>
      </c>
      <c r="O43" s="6">
        <f>IF(G43="","",$B$3-G43)</f>
        <v>3</v>
      </c>
      <c r="P43" s="6" t="str">
        <f>IF(H43="","Pending buy",IF(N43&gt;=0,"In profit","In loss"))</f>
        <v>In loss</v>
      </c>
      <c r="Q43" s="6" t="n">
        <v>1</v>
      </c>
    </row>
    <row r="44">
      <c r="A44" s="6" t="n">
        <v>37</v>
      </c>
      <c r="B44" s="7" t="inlineStr">
        <is>
          <t>Ind-Swift Laboratories Limited</t>
        </is>
      </c>
      <c r="C44" s="6" t="inlineStr">
        <is>
          <t>INDSWFTLAB</t>
        </is>
      </c>
      <c r="D44" s="6" t="inlineStr">
        <is>
          <t>5★</t>
        </is>
      </c>
      <c r="E44" s="6" t="inlineStr">
        <is>
          <t>221026</t>
        </is>
      </c>
      <c r="F44" s="8" t="n">
        <v>46317</v>
      </c>
      <c r="G44" s="8" t="n">
        <v>46318</v>
      </c>
      <c r="H44" s="9" t="n">
        <v>330.5</v>
      </c>
      <c r="I44" s="6">
        <f>IF(H44="","",ROUNDDOWN($B$1/H44,0))</f>
        <v>302</v>
      </c>
      <c r="J44" s="9">
        <f>IF(H44="","",H44*I44)</f>
        <v>99810.88</v>
      </c>
      <c r="K44" s="9" t="n">
        <v>337.05</v>
      </c>
      <c r="L44" s="9">
        <f>IF(OR(I44="",K44=""),"",K44*I44)</f>
        <v>101789.1</v>
      </c>
      <c r="M44" s="9">
        <f>IF(L44="","",L44-J44)</f>
        <v>1978.22</v>
      </c>
      <c r="N44" s="10">
        <f>IF(OR(H44="",K44=""),"",K44/H44-1)</f>
        <v>0.019819678815712116</v>
      </c>
      <c r="O44" s="6">
        <f>IF(G44="","",$B$3-G44)</f>
        <v>3</v>
      </c>
      <c r="P44" s="6" t="str">
        <f>IF(H44="","Pending buy",IF(N44&gt;=0,"In profit","In loss"))</f>
        <v>In profit</v>
      </c>
      <c r="Q44" s="6" t="n">
        <v>2</v>
      </c>
    </row>
    <row r="45">
      <c r="A45" s="6" t="n">
        <v>38</v>
      </c>
      <c r="B45" s="7" t="inlineStr">
        <is>
          <t>Menon Bearings Limited</t>
        </is>
      </c>
      <c r="C45" s="6" t="inlineStr">
        <is>
          <t>MENONBE</t>
        </is>
      </c>
      <c r="D45" s="6" t="inlineStr">
        <is>
          <t>5★</t>
        </is>
      </c>
      <c r="E45" s="6" t="inlineStr">
        <is>
          <t>221026</t>
        </is>
      </c>
      <c r="F45" s="8" t="n">
        <v>46317</v>
      </c>
      <c r="G45" s="8" t="n">
        <v>46318</v>
      </c>
      <c r="H45" s="9" t="n">
        <v>269.53</v>
      </c>
      <c r="I45" s="6">
        <f>IF(H45="","",ROUNDDOWN($B$1/H45,0))</f>
        <v>371</v>
      </c>
      <c r="J45" s="9">
        <f>IF(H45="","",H45*I45)</f>
        <v>99997.44</v>
      </c>
      <c r="K45" s="9" t="n">
        <v>271.2</v>
      </c>
      <c r="L45" s="9">
        <f>IF(OR(I45="",K45=""),"",K45*I45)</f>
        <v>100615.2</v>
      </c>
      <c r="M45" s="9">
        <f>IF(L45="","",L45-J45)</f>
        <v>617.76</v>
      </c>
      <c r="N45" s="10">
        <f>IF(OR(H45="",K45=""),"",K45/H45-1)</f>
        <v>0.006177783184952768</v>
      </c>
      <c r="O45" s="6">
        <f>IF(G45="","",$B$3-G45)</f>
        <v>3</v>
      </c>
      <c r="P45" s="6" t="str">
        <f>IF(H45="","Pending buy",IF(N45&gt;=0,"In profit","In loss"))</f>
        <v>In profit</v>
      </c>
      <c r="Q45" s="6" t="n">
        <v>1</v>
      </c>
    </row>
    <row r="46">
      <c r="A46" s="6" t="n">
        <v>39</v>
      </c>
      <c r="B46" s="7" t="inlineStr">
        <is>
          <t>Redington Limited</t>
        </is>
      </c>
      <c r="C46" s="6" t="inlineStr">
        <is>
          <t>REDINGTON</t>
        </is>
      </c>
      <c r="D46" s="6" t="inlineStr">
        <is>
          <t>5★</t>
        </is>
      </c>
      <c r="E46" s="6" t="inlineStr">
        <is>
          <t>221026</t>
        </is>
      </c>
      <c r="F46" s="8" t="n">
        <v>46317</v>
      </c>
      <c r="G46" s="8" t="n">
        <v>46318</v>
      </c>
      <c r="H46" s="9" t="n">
        <v>359.25</v>
      </c>
      <c r="I46" s="6">
        <f>IF(H46="","",ROUNDDOWN($B$1/H46,0))</f>
        <v>278</v>
      </c>
      <c r="J46" s="9">
        <f>IF(H46="","",H46*I46)</f>
        <v>99870.37</v>
      </c>
      <c r="K46" s="9" t="n">
        <v>366.75</v>
      </c>
      <c r="L46" s="9">
        <f>IF(OR(I46="",K46=""),"",K46*I46)</f>
        <v>101956.5</v>
      </c>
      <c r="M46" s="9">
        <f>IF(L46="","",L46-J46)</f>
        <v>2086.13</v>
      </c>
      <c r="N46" s="10">
        <f>IF(OR(H46="",K46=""),"",K46/H46-1)</f>
        <v>0.02088842662924839</v>
      </c>
      <c r="O46" s="6">
        <f>IF(G46="","",$B$3-G46)</f>
        <v>3</v>
      </c>
      <c r="P46" s="6" t="str">
        <f>IF(H46="","Pending buy",IF(N46&gt;=0,"In profit","In loss"))</f>
        <v>In profit</v>
      </c>
      <c r="Q46" s="6" t="n">
        <v>1</v>
      </c>
    </row>
    <row r="47">
      <c r="A47" s="6" t="n">
        <v>40</v>
      </c>
      <c r="B47" s="7" t="inlineStr">
        <is>
          <t>Sheetal Cool Products Limited</t>
        </is>
      </c>
      <c r="C47" s="6" t="inlineStr">
        <is>
          <t>SCPL</t>
        </is>
      </c>
      <c r="D47" s="6" t="inlineStr">
        <is>
          <t>5★</t>
        </is>
      </c>
      <c r="E47" s="6" t="inlineStr">
        <is>
          <t>221026</t>
        </is>
      </c>
      <c r="F47" s="8" t="n">
        <v>46317</v>
      </c>
      <c r="G47" s="8" t="n">
        <v>46318</v>
      </c>
      <c r="H47" s="9" t="n">
        <v>577.79</v>
      </c>
      <c r="I47" s="6">
        <f>IF(H47="","",ROUNDDOWN($B$1/H47,0))</f>
        <v>173</v>
      </c>
      <c r="J47" s="9">
        <f>IF(H47="","",H47*I47)</f>
        <v>99957.4</v>
      </c>
      <c r="K47" s="9" t="n">
        <v>560.85</v>
      </c>
      <c r="L47" s="9">
        <f>IF(OR(I47="",K47=""),"",K47*I47)</f>
        <v>97027.05</v>
      </c>
      <c r="M47" s="9">
        <f>IF(L47="","",L47-J47)</f>
        <v>-2930.35</v>
      </c>
      <c r="N47" s="10">
        <f>IF(OR(H47="",K47=""),"",K47/H47-1)</f>
        <v>-0.029315978016472344</v>
      </c>
      <c r="O47" s="6">
        <f>IF(G47="","",$B$3-G47)</f>
        <v>3</v>
      </c>
      <c r="P47" s="6" t="str">
        <f>IF(H47="","Pending buy",IF(N47&gt;=0,"In profit","In loss"))</f>
        <v>In loss</v>
      </c>
      <c r="Q47" s="6" t="n">
        <v>1</v>
      </c>
    </row>
    <row r="48">
      <c r="A48" s="6" t="n">
        <v>41</v>
      </c>
      <c r="B48" s="7" t="inlineStr">
        <is>
          <t>Union Bank of India</t>
        </is>
      </c>
      <c r="C48" s="6" t="inlineStr">
        <is>
          <t>UNIONBANK</t>
        </is>
      </c>
      <c r="D48" s="6" t="inlineStr">
        <is>
          <t>4★</t>
        </is>
      </c>
      <c r="E48" s="6" t="inlineStr">
        <is>
          <t>221026</t>
        </is>
      </c>
      <c r="F48" s="8" t="n">
        <v>46317</v>
      </c>
      <c r="G48" s="8" t="n">
        <v>46318</v>
      </c>
      <c r="H48" s="9" t="n">
        <v>179.47</v>
      </c>
      <c r="I48" s="6">
        <f>IF(H48="","",ROUNDDOWN($B$1/H48,0))</f>
        <v>557</v>
      </c>
      <c r="J48" s="9">
        <f>IF(H48="","",H48*I48)</f>
        <v>99965.44</v>
      </c>
      <c r="K48" s="9" t="n">
        <v>181.2</v>
      </c>
      <c r="L48" s="9">
        <f>IF(OR(I48="",K48=""),"",K48*I48)</f>
        <v>100928.4</v>
      </c>
      <c r="M48" s="9">
        <f>IF(L48="","",L48-J48)</f>
        <v>962.96</v>
      </c>
      <c r="N48" s="10">
        <f>IF(OR(H48="",K48=""),"",K48/H48-1)</f>
        <v>0.009632906446016332</v>
      </c>
      <c r="O48" s="6">
        <f>IF(G48="","",$B$3-G48)</f>
        <v>3</v>
      </c>
      <c r="P48" s="6" t="str">
        <f>IF(H48="","Pending buy",IF(N48&gt;=0,"In profit","In loss"))</f>
        <v>In profit</v>
      </c>
      <c r="Q48" s="6" t="n">
        <v>1</v>
      </c>
    </row>
    <row r="49">
      <c r="A49" s="6" t="n">
        <v>42</v>
      </c>
      <c r="B49" s="7" t="inlineStr">
        <is>
          <t>Sterlite Technologies Limited</t>
        </is>
      </c>
      <c r="C49" s="6" t="inlineStr">
        <is>
          <t>STLTECH</t>
        </is>
      </c>
      <c r="D49" s="6" t="inlineStr">
        <is>
          <t>5★</t>
        </is>
      </c>
      <c r="E49" s="6" t="inlineStr">
        <is>
          <t>231026</t>
        </is>
      </c>
      <c r="F49" s="8" t="n">
        <v>46318</v>
      </c>
      <c r="G49" s="8" t="n">
        <v>46321</v>
      </c>
      <c r="H49" s="9" t="n">
        <v>833.21</v>
      </c>
      <c r="I49" s="6">
        <f>IF(H49="","",ROUNDDOWN($B$1/H49,0))</f>
        <v>120</v>
      </c>
      <c r="J49" s="9">
        <f>IF(H49="","",H49*I49)</f>
        <v>99985.7</v>
      </c>
      <c r="K49" s="9" t="n">
        <v>867.55</v>
      </c>
      <c r="L49" s="9">
        <f>IF(OR(I49="",K49=""),"",K49*I49)</f>
        <v>104106.0</v>
      </c>
      <c r="M49" s="9">
        <f>IF(L49="","",L49-J49)</f>
        <v>4120.3</v>
      </c>
      <c r="N49" s="10">
        <f>IF(OR(H49="",K49=""),"",K49/H49-1)</f>
        <v>0.0412089274447609</v>
      </c>
      <c r="O49" s="6">
        <f>IF(G49="","",$B$3-G49)</f>
        <v>0</v>
      </c>
      <c r="P49" s="6" t="str">
        <f>IF(H49="","Pending buy",IF(N49&gt;=0,"In profit","In loss"))</f>
        <v>In profit</v>
      </c>
      <c r="Q49" s="6" t="n">
        <v>1</v>
      </c>
    </row>
    <row r="50">
      <c r="A50" s="6" t="n">
        <v>43</v>
      </c>
      <c r="B50" s="7" t="inlineStr">
        <is>
          <t>Filatex India Limited</t>
        </is>
      </c>
      <c r="C50" s="6" t="inlineStr">
        <is>
          <t>FILATEX</t>
        </is>
      </c>
      <c r="D50" s="6" t="inlineStr">
        <is>
          <t>5★</t>
        </is>
      </c>
      <c r="E50" s="6" t="inlineStr">
        <is>
          <t>261026</t>
        </is>
      </c>
      <c r="F50" s="8" t="n">
        <v>46321</v>
      </c>
      <c r="G50" s="6" t="inlineStr"/>
      <c r="H50" s="9" t="inlineStr"/>
      <c r="I50" s="6" t="str">
        <f>IF(H50="","",ROUNDDOWN($B$1/H50,0))</f>
        <v/>
      </c>
      <c r="J50" s="9" t="str">
        <f>IF(H50="","",H50*I50)</f>
        <v/>
      </c>
      <c r="K50" s="9" t="n">
        <v>94.62</v>
      </c>
      <c r="L50" s="9" t="str">
        <f>IF(OR(I50="",K50=""),"",K50*I50)</f>
        <v/>
      </c>
      <c r="M50" s="9" t="str">
        <f>IF(L50="","",L50-J50)</f>
        <v/>
      </c>
      <c r="N50" s="10" t="str">
        <f>IF(OR(H50="",K50=""),"",K50/H50-1)</f>
        <v/>
      </c>
      <c r="O50" s="6" t="str">
        <f>IF(G50="","",$B$3-G50)</f>
        <v/>
      </c>
      <c r="P50" s="6" t="str">
        <f>IF(H50="","Pending buy",IF(N50&gt;=0,"In profit","In loss"))</f>
        <v>Pending buy</v>
      </c>
      <c r="Q50" s="6" t="n">
        <v>1</v>
      </c>
    </row>
    <row r="51">
      <c r="A51" s="6" t="n">
        <v>44</v>
      </c>
      <c r="B51" s="7" t="inlineStr">
        <is>
          <t>Gland Pharma Limited</t>
        </is>
      </c>
      <c r="C51" s="6" t="inlineStr">
        <is>
          <t>GLAND</t>
        </is>
      </c>
      <c r="D51" s="6" t="inlineStr">
        <is>
          <t>5★</t>
        </is>
      </c>
      <c r="E51" s="6" t="inlineStr">
        <is>
          <t>261026</t>
        </is>
      </c>
      <c r="F51" s="8" t="n">
        <v>46321</v>
      </c>
      <c r="G51" s="6" t="inlineStr"/>
      <c r="H51" s="9" t="inlineStr"/>
      <c r="I51" s="6" t="str">
        <f>IF(H51="","",ROUNDDOWN($B$1/H51,0))</f>
        <v/>
      </c>
      <c r="J51" s="9" t="str">
        <f>IF(H51="","",H51*I51)</f>
        <v/>
      </c>
      <c r="K51" s="9" t="n">
        <v>2843.9</v>
      </c>
      <c r="L51" s="9" t="str">
        <f>IF(OR(I51="",K51=""),"",K51*I51)</f>
        <v/>
      </c>
      <c r="M51" s="9" t="str">
        <f>IF(L51="","",L51-J51)</f>
        <v/>
      </c>
      <c r="N51" s="10" t="str">
        <f>IF(OR(H51="",K51=""),"",K51/H51-1)</f>
        <v/>
      </c>
      <c r="O51" s="6" t="str">
        <f>IF(G51="","",$B$3-G51)</f>
        <v/>
      </c>
      <c r="P51" s="6" t="str">
        <f>IF(H51="","Pending buy",IF(N51&gt;=0,"In profit","In loss"))</f>
        <v>Pending buy</v>
      </c>
      <c r="Q51" s="6" t="n">
        <v>1</v>
      </c>
    </row>
    <row r="52">
      <c r="A52" s="6" t="n">
        <v>45</v>
      </c>
      <c r="B52" s="7" t="inlineStr">
        <is>
          <t>Shilpa Medicare Limited</t>
        </is>
      </c>
      <c r="C52" s="6" t="inlineStr">
        <is>
          <t>SHILPAMED</t>
        </is>
      </c>
      <c r="D52" s="6" t="inlineStr">
        <is>
          <t>5★</t>
        </is>
      </c>
      <c r="E52" s="6" t="inlineStr">
        <is>
          <t>261026</t>
        </is>
      </c>
      <c r="F52" s="8" t="n">
        <v>46321</v>
      </c>
      <c r="G52" s="6" t="inlineStr"/>
      <c r="H52" s="9" t="inlineStr"/>
      <c r="I52" s="6" t="str">
        <f>IF(H52="","",ROUNDDOWN($B$1/H52,0))</f>
        <v/>
      </c>
      <c r="J52" s="9" t="str">
        <f>IF(H52="","",H52*I52)</f>
        <v/>
      </c>
      <c r="K52" s="9" t="n">
        <v>900.8</v>
      </c>
      <c r="L52" s="9" t="str">
        <f>IF(OR(I52="",K52=""),"",K52*I52)</f>
        <v/>
      </c>
      <c r="M52" s="9" t="str">
        <f>IF(L52="","",L52-J52)</f>
        <v/>
      </c>
      <c r="N52" s="10" t="str">
        <f>IF(OR(H52="",K52=""),"",K52/H52-1)</f>
        <v/>
      </c>
      <c r="O52" s="6" t="str">
        <f>IF(G52="","",$B$3-G52)</f>
        <v/>
      </c>
      <c r="P52" s="6" t="str">
        <f>IF(H52="","Pending buy",IF(N52&gt;=0,"In profit","In loss"))</f>
        <v>Pending buy</v>
      </c>
      <c r="Q52" s="6" t="n">
        <v>1</v>
      </c>
    </row>
    <row r="53">
      <c r="A53" s="6" t="n">
        <v>46</v>
      </c>
      <c r="B53" s="7" t="inlineStr">
        <is>
          <t>Sona BLW Precision Forgings Limited</t>
        </is>
      </c>
      <c r="C53" s="6" t="inlineStr">
        <is>
          <t>SONACOMS</t>
        </is>
      </c>
      <c r="D53" s="6" t="inlineStr">
        <is>
          <t>5★</t>
        </is>
      </c>
      <c r="E53" s="6" t="inlineStr">
        <is>
          <t>261026</t>
        </is>
      </c>
      <c r="F53" s="8" t="n">
        <v>46321</v>
      </c>
      <c r="G53" s="6" t="inlineStr"/>
      <c r="H53" s="9" t="inlineStr"/>
      <c r="I53" s="6" t="str">
        <f>IF(H53="","",ROUNDDOWN($B$1/H53,0))</f>
        <v/>
      </c>
      <c r="J53" s="9" t="str">
        <f>IF(H53="","",H53*I53)</f>
        <v/>
      </c>
      <c r="K53" s="9" t="n">
        <v>781.9</v>
      </c>
      <c r="L53" s="9" t="str">
        <f>IF(OR(I53="",K53=""),"",K53*I53)</f>
        <v/>
      </c>
      <c r="M53" s="9" t="str">
        <f>IF(L53="","",L53-J53)</f>
        <v/>
      </c>
      <c r="N53" s="10" t="str">
        <f>IF(OR(H53="",K53=""),"",K53/H53-1)</f>
        <v/>
      </c>
      <c r="O53" s="6" t="str">
        <f>IF(G53="","",$B$3-G53)</f>
        <v/>
      </c>
      <c r="P53" s="6" t="str">
        <f>IF(H53="","Pending buy",IF(N53&gt;=0,"In profit","In loss"))</f>
        <v>Pending buy</v>
      </c>
      <c r="Q53" s="6" t="n">
        <v>1</v>
      </c>
    </row>
  </sheetData>
  <conditionalFormatting sqref="A8:Q53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HALEOSLABS</t>
        </is>
      </c>
      <c r="D4" s="11" t="inlineStr">
        <is>
          <t>HALEOS LABS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LLOYDSENT</t>
        </is>
      </c>
      <c r="D5" s="11" t="inlineStr">
        <is>
          <t>Lloyds Enterprises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NUVAMA</t>
        </is>
      </c>
      <c r="D6" s="11" t="inlineStr">
        <is>
          <t>Nuvama Wealth Management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BBOX</t>
        </is>
      </c>
      <c r="D10" s="11" t="inlineStr">
        <is>
          <t>Black Box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JAMNAAUTO</t>
        </is>
      </c>
      <c r="D12" s="11" t="inlineStr">
        <is>
          <t>Jamna Auto Industries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OMAXAUTO</t>
        </is>
      </c>
      <c r="D13" s="11" t="inlineStr">
        <is>
          <t>Omax Autos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ADOR</t>
        </is>
      </c>
      <c r="D14" s="11" t="inlineStr">
        <is>
          <t>Ador Welding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ATHERENERG</t>
        </is>
      </c>
      <c r="D15" s="11" t="inlineStr">
        <is>
          <t>Ather Energy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SENORES</t>
        </is>
      </c>
      <c r="D16" s="11" t="inlineStr">
        <is>
          <t>Senores Pharmaceuticals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UFBL</t>
        </is>
      </c>
      <c r="D17" s="11" t="inlineStr">
        <is>
          <t>United Foodbrands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VISHNU</t>
        </is>
      </c>
      <c r="D18" s="11" t="inlineStr">
        <is>
          <t>Vishnu Chemicals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MAYURUNIQ</t>
        </is>
      </c>
      <c r="D20" s="11" t="inlineStr">
        <is>
          <t>Mayur Uniquoters Ltd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UEL</t>
        </is>
      </c>
      <c r="D21" s="11" t="inlineStr">
        <is>
          <t>Ujaas Energy Limited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  <row r="23">
      <c r="A23" s="8" t="n">
        <v>46307</v>
      </c>
      <c r="B23" s="6" t="inlineStr">
        <is>
          <t>4★</t>
        </is>
      </c>
      <c r="C23" s="6" t="inlineStr">
        <is>
          <t>JAMNAAUTO</t>
        </is>
      </c>
      <c r="D23" s="11" t="inlineStr">
        <is>
          <t>Jamna Auto Industries Limited</t>
        </is>
      </c>
    </row>
    <row r="24">
      <c r="A24" s="8" t="n">
        <v>46307</v>
      </c>
      <c r="B24" s="6" t="inlineStr">
        <is>
          <t>5★</t>
        </is>
      </c>
      <c r="C24" s="6" t="inlineStr">
        <is>
          <t>ADOR</t>
        </is>
      </c>
      <c r="D24" s="11" t="inlineStr">
        <is>
          <t>Ador Welding Limited</t>
        </is>
      </c>
    </row>
    <row r="25">
      <c r="A25" s="8" t="n">
        <v>46307</v>
      </c>
      <c r="B25" s="6" t="inlineStr">
        <is>
          <t>5★</t>
        </is>
      </c>
      <c r="C25" s="6" t="inlineStr">
        <is>
          <t>COMSYN</t>
        </is>
      </c>
      <c r="D25" s="11" t="inlineStr">
        <is>
          <t>Commercial Syn Bags Limited</t>
        </is>
      </c>
    </row>
    <row r="26">
      <c r="A26" s="8" t="n">
        <v>46307</v>
      </c>
      <c r="B26" s="6" t="inlineStr">
        <is>
          <t>5★</t>
        </is>
      </c>
      <c r="C26" s="6" t="inlineStr">
        <is>
          <t>CRAFTSMAN</t>
        </is>
      </c>
      <c r="D26" s="11" t="inlineStr">
        <is>
          <t>Craftsman Automation Limited</t>
        </is>
      </c>
    </row>
    <row r="27">
      <c r="A27" s="8" t="n">
        <v>46307</v>
      </c>
      <c r="B27" s="6" t="inlineStr">
        <is>
          <t>5★</t>
        </is>
      </c>
      <c r="C27" s="6" t="inlineStr">
        <is>
          <t>HAPPYFORGE</t>
        </is>
      </c>
      <c r="D27" s="11" t="inlineStr">
        <is>
          <t>Happy Forgings Limited</t>
        </is>
      </c>
    </row>
    <row r="28">
      <c r="A28" s="8" t="n">
        <v>46307</v>
      </c>
      <c r="B28" s="6" t="inlineStr">
        <is>
          <t>5★</t>
        </is>
      </c>
      <c r="C28" s="6" t="inlineStr">
        <is>
          <t>VIJIFIN</t>
        </is>
      </c>
      <c r="D28" s="11" t="inlineStr">
        <is>
          <t>Viji Finance Limited</t>
        </is>
      </c>
    </row>
    <row r="29">
      <c r="A29" s="8" t="n">
        <v>46308</v>
      </c>
      <c r="B29" s="6" t="inlineStr">
        <is>
          <t>4★</t>
        </is>
      </c>
      <c r="C29" s="6" t="inlineStr">
        <is>
          <t>GAEL</t>
        </is>
      </c>
      <c r="D29" s="11" t="inlineStr">
        <is>
          <t>Gujarat Ambuja Exports Limited</t>
        </is>
      </c>
    </row>
    <row r="30">
      <c r="A30" s="8" t="n">
        <v>46308</v>
      </c>
      <c r="B30" s="6" t="inlineStr">
        <is>
          <t>4★</t>
        </is>
      </c>
      <c r="C30" s="6" t="inlineStr">
        <is>
          <t>NETWEB</t>
        </is>
      </c>
      <c r="D30" s="11" t="inlineStr">
        <is>
          <t>Netweb Technologies India Limited</t>
        </is>
      </c>
    </row>
    <row r="31">
      <c r="A31" s="8" t="n">
        <v>46308</v>
      </c>
      <c r="B31" s="6" t="inlineStr">
        <is>
          <t>5★</t>
        </is>
      </c>
      <c r="C31" s="6" t="inlineStr">
        <is>
          <t>KANORICHEM</t>
        </is>
      </c>
      <c r="D31" s="11" t="inlineStr">
        <is>
          <t>Kanoria Chemicals &amp; Industries Limited</t>
        </is>
      </c>
    </row>
    <row r="32">
      <c r="A32" s="8" t="n">
        <v>46308</v>
      </c>
      <c r="B32" s="6" t="inlineStr">
        <is>
          <t>5★</t>
        </is>
      </c>
      <c r="C32" s="6" t="inlineStr">
        <is>
          <t>KAPSTON</t>
        </is>
      </c>
      <c r="D32" s="11" t="inlineStr">
        <is>
          <t>Kapston Services Limited</t>
        </is>
      </c>
    </row>
    <row r="33">
      <c r="A33" s="8" t="n">
        <v>46309</v>
      </c>
      <c r="B33" s="6" t="inlineStr">
        <is>
          <t>4★</t>
        </is>
      </c>
      <c r="C33" s="6" t="inlineStr">
        <is>
          <t>CCL</t>
        </is>
      </c>
      <c r="D33" s="11" t="inlineStr">
        <is>
          <t>CCL Products (India) Limited</t>
        </is>
      </c>
    </row>
    <row r="34">
      <c r="A34" s="8" t="n">
        <v>46309</v>
      </c>
      <c r="B34" s="6" t="inlineStr">
        <is>
          <t>4★</t>
        </is>
      </c>
      <c r="C34" s="6" t="inlineStr">
        <is>
          <t>JAYNECOIND</t>
        </is>
      </c>
      <c r="D34" s="11" t="inlineStr">
        <is>
          <t>Jayaswal Neco Industries Limited</t>
        </is>
      </c>
    </row>
    <row r="35">
      <c r="A35" s="8" t="n">
        <v>46309</v>
      </c>
      <c r="B35" s="6" t="inlineStr">
        <is>
          <t>5★</t>
        </is>
      </c>
      <c r="C35" s="6" t="inlineStr">
        <is>
          <t>SAKAR</t>
        </is>
      </c>
      <c r="D35" s="11" t="inlineStr">
        <is>
          <t>Sakar Healthcare Limited</t>
        </is>
      </c>
    </row>
    <row r="36">
      <c r="A36" s="8" t="n">
        <v>46309</v>
      </c>
      <c r="B36" s="6" t="inlineStr">
        <is>
          <t>5★</t>
        </is>
      </c>
      <c r="C36" s="6" t="inlineStr">
        <is>
          <t>TNPETRO</t>
        </is>
      </c>
      <c r="D36" s="11" t="inlineStr">
        <is>
          <t>Tamilnadu PetroProducts Limited</t>
        </is>
      </c>
    </row>
    <row r="37">
      <c r="A37" s="8" t="n">
        <v>46311</v>
      </c>
      <c r="B37" s="6" t="inlineStr">
        <is>
          <t>4★</t>
        </is>
      </c>
      <c r="C37" s="6" t="inlineStr">
        <is>
          <t>AIIL</t>
        </is>
      </c>
      <c r="D37" s="11" t="inlineStr">
        <is>
          <t>Authum Investment &amp; Infrastructure Limited</t>
        </is>
      </c>
    </row>
    <row r="38">
      <c r="A38" s="8" t="n">
        <v>46311</v>
      </c>
      <c r="B38" s="6" t="inlineStr">
        <is>
          <t>4★</t>
        </is>
      </c>
      <c r="C38" s="6" t="inlineStr">
        <is>
          <t>KESORAMIND</t>
        </is>
      </c>
      <c r="D38" s="11" t="inlineStr">
        <is>
          <t>Kesoram Industries Limited</t>
        </is>
      </c>
    </row>
    <row r="39">
      <c r="A39" s="8" t="n">
        <v>46314</v>
      </c>
      <c r="B39" s="6" t="inlineStr">
        <is>
          <t>4★</t>
        </is>
      </c>
      <c r="C39" s="6" t="inlineStr">
        <is>
          <t>PASHUPATI</t>
        </is>
      </c>
      <c r="D39" s="11" t="inlineStr">
        <is>
          <t>Pashupati Cotspin Limited</t>
        </is>
      </c>
    </row>
    <row r="40">
      <c r="A40" s="8" t="n">
        <v>46314</v>
      </c>
      <c r="B40" s="6" t="inlineStr">
        <is>
          <t>5★</t>
        </is>
      </c>
      <c r="C40" s="6" t="inlineStr">
        <is>
          <t>CCAVENUE</t>
        </is>
      </c>
      <c r="D40" s="11" t="inlineStr">
        <is>
          <t>AvenuesAI Limited</t>
        </is>
      </c>
    </row>
    <row r="41">
      <c r="A41" s="8" t="n">
        <v>46315</v>
      </c>
      <c r="B41" s="6" t="inlineStr">
        <is>
          <t>4★</t>
        </is>
      </c>
      <c r="C41" s="6" t="inlineStr">
        <is>
          <t>PASHUPATI</t>
        </is>
      </c>
      <c r="D41" s="11" t="inlineStr">
        <is>
          <t>Pashupati Cotspin Limited</t>
        </is>
      </c>
    </row>
    <row r="42">
      <c r="A42" s="8" t="n">
        <v>46315</v>
      </c>
      <c r="B42" s="6" t="inlineStr">
        <is>
          <t>5★</t>
        </is>
      </c>
      <c r="C42" s="6" t="inlineStr">
        <is>
          <t>CCAVENUE</t>
        </is>
      </c>
      <c r="D42" s="11" t="inlineStr">
        <is>
          <t>AvenuesAI Limited</t>
        </is>
      </c>
    </row>
    <row r="43">
      <c r="A43" s="8" t="n">
        <v>46316</v>
      </c>
      <c r="B43" s="6" t="inlineStr">
        <is>
          <t>4★</t>
        </is>
      </c>
      <c r="C43" s="6" t="inlineStr">
        <is>
          <t>HALEOSLABS</t>
        </is>
      </c>
      <c r="D43" s="11" t="inlineStr">
        <is>
          <t>HALEOS LABS LIMITED</t>
        </is>
      </c>
    </row>
    <row r="44">
      <c r="A44" s="8" t="n">
        <v>46317</v>
      </c>
      <c r="B44" s="6" t="inlineStr">
        <is>
          <t>4★</t>
        </is>
      </c>
      <c r="C44" s="6" t="inlineStr">
        <is>
          <t>UNIONBANK</t>
        </is>
      </c>
      <c r="D44" s="11" t="inlineStr">
        <is>
          <t>Union Bank of India</t>
        </is>
      </c>
    </row>
    <row r="45">
      <c r="A45" s="8" t="n">
        <v>46317</v>
      </c>
      <c r="B45" s="6" t="inlineStr">
        <is>
          <t>5★</t>
        </is>
      </c>
      <c r="C45" s="6" t="inlineStr">
        <is>
          <t>BLISSGVS</t>
        </is>
      </c>
      <c r="D45" s="11" t="inlineStr">
        <is>
          <t>Bliss GVS Pharma Limited</t>
        </is>
      </c>
    </row>
    <row r="46">
      <c r="A46" s="8" t="n">
        <v>46317</v>
      </c>
      <c r="B46" s="6" t="inlineStr">
        <is>
          <t>5★</t>
        </is>
      </c>
      <c r="C46" s="6" t="inlineStr">
        <is>
          <t>INDSWFTLAB</t>
        </is>
      </c>
      <c r="D46" s="11" t="inlineStr">
        <is>
          <t>Ind-Swift Laboratories Limited</t>
        </is>
      </c>
    </row>
    <row r="47">
      <c r="A47" s="8" t="n">
        <v>46317</v>
      </c>
      <c r="B47" s="6" t="inlineStr">
        <is>
          <t>5★</t>
        </is>
      </c>
      <c r="C47" s="6" t="inlineStr">
        <is>
          <t>MENONBE</t>
        </is>
      </c>
      <c r="D47" s="11" t="inlineStr">
        <is>
          <t>Menon Bearings Limited</t>
        </is>
      </c>
    </row>
    <row r="48">
      <c r="A48" s="8" t="n">
        <v>46317</v>
      </c>
      <c r="B48" s="6" t="inlineStr">
        <is>
          <t>5★</t>
        </is>
      </c>
      <c r="C48" s="6" t="inlineStr">
        <is>
          <t>REDINGTON</t>
        </is>
      </c>
      <c r="D48" s="11" t="inlineStr">
        <is>
          <t>Redington Limited</t>
        </is>
      </c>
    </row>
    <row r="49">
      <c r="A49" s="8" t="n">
        <v>46317</v>
      </c>
      <c r="B49" s="6" t="inlineStr">
        <is>
          <t>5★</t>
        </is>
      </c>
      <c r="C49" s="6" t="inlineStr">
        <is>
          <t>SCPL</t>
        </is>
      </c>
      <c r="D49" s="11" t="inlineStr">
        <is>
          <t>Sheetal Cool Products Limited</t>
        </is>
      </c>
    </row>
    <row r="50">
      <c r="A50" s="8" t="n">
        <v>46318</v>
      </c>
      <c r="B50" s="6" t="inlineStr">
        <is>
          <t>5★</t>
        </is>
      </c>
      <c r="C50" s="6" t="inlineStr">
        <is>
          <t>STLTECH</t>
        </is>
      </c>
      <c r="D50" s="11" t="inlineStr">
        <is>
          <t>Sterlite Technologies Limited</t>
        </is>
      </c>
    </row>
    <row r="51">
      <c r="A51" s="8" t="n">
        <v>46321</v>
      </c>
      <c r="B51" s="6" t="inlineStr">
        <is>
          <t>5★</t>
        </is>
      </c>
      <c r="C51" s="6" t="inlineStr">
        <is>
          <t>ATHERENERG</t>
        </is>
      </c>
      <c r="D51" s="11" t="inlineStr">
        <is>
          <t>Ather Energy Limited</t>
        </is>
      </c>
    </row>
    <row r="52">
      <c r="A52" s="8" t="n">
        <v>46321</v>
      </c>
      <c r="B52" s="6" t="inlineStr">
        <is>
          <t>5★</t>
        </is>
      </c>
      <c r="C52" s="6" t="inlineStr">
        <is>
          <t>FILATEX</t>
        </is>
      </c>
      <c r="D52" s="11" t="inlineStr">
        <is>
          <t>Filatex India Limited</t>
        </is>
      </c>
    </row>
    <row r="53">
      <c r="A53" s="8" t="n">
        <v>46321</v>
      </c>
      <c r="B53" s="6" t="inlineStr">
        <is>
          <t>5★</t>
        </is>
      </c>
      <c r="C53" s="6" t="inlineStr">
        <is>
          <t>GLAND</t>
        </is>
      </c>
      <c r="D53" s="11" t="inlineStr">
        <is>
          <t>Gland Pharma Limited</t>
        </is>
      </c>
    </row>
    <row r="54">
      <c r="A54" s="8" t="n">
        <v>46321</v>
      </c>
      <c r="B54" s="6" t="inlineStr">
        <is>
          <t>5★</t>
        </is>
      </c>
      <c r="C54" s="6" t="inlineStr">
        <is>
          <t>INDSWFTLAB</t>
        </is>
      </c>
      <c r="D54" s="11" t="inlineStr">
        <is>
          <t>Ind-Swift Laboratories Limited</t>
        </is>
      </c>
    </row>
    <row r="55">
      <c r="A55" s="8" t="n">
        <v>46321</v>
      </c>
      <c r="B55" s="6" t="inlineStr">
        <is>
          <t>5★</t>
        </is>
      </c>
      <c r="C55" s="6" t="inlineStr">
        <is>
          <t>KAPSTON</t>
        </is>
      </c>
      <c r="D55" s="11" t="inlineStr">
        <is>
          <t>Kapston Services Limited</t>
        </is>
      </c>
    </row>
    <row r="56">
      <c r="A56" s="8" t="n">
        <v>46321</v>
      </c>
      <c r="B56" s="6" t="inlineStr">
        <is>
          <t>5★</t>
        </is>
      </c>
      <c r="C56" s="6" t="inlineStr">
        <is>
          <t>SHILPAMED</t>
        </is>
      </c>
      <c r="D56" s="11" t="inlineStr">
        <is>
          <t>Shilpa Medicare Limited</t>
        </is>
      </c>
    </row>
    <row r="57">
      <c r="A57" s="8" t="n">
        <v>46321</v>
      </c>
      <c r="B57" s="6" t="inlineStr">
        <is>
          <t>5★</t>
        </is>
      </c>
      <c r="C57" s="6" t="inlineStr">
        <is>
          <t>SONACOMS</t>
        </is>
      </c>
      <c r="D57" s="11" t="inlineStr">
        <is>
          <t>Sona BLW Precision Forgings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</t>
        </is>
      </c>
      <c r="D2" s="14" t="n">
        <v>46300</v>
      </c>
      <c r="E2" s="15" t="inlineStr">
        <is>
          <t>Not in NSE official equity list</t>
        </is>
      </c>
    </row>
    <row r="3">
      <c r="A3" s="12" t="inlineStr">
        <is>
          <t>PHARMABEES</t>
        </is>
      </c>
      <c r="B3" s="13" t="inlineStr">
        <is>
          <t>Nippon India NIFTY Pharma ETF Growth Plan</t>
        </is>
      </c>
      <c r="C3" s="12" t="inlineStr">
        <is>
          <t>5★</t>
        </is>
      </c>
      <c r="D3" s="14" t="n">
        <v>46301</v>
      </c>
      <c r="E3" s="15" t="inlineStr">
        <is>
          <t>Not in NSE official equity list; In NSE official ETF list; Name/symbol contains: ETF, BEES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</t>
        </is>
      </c>
      <c r="D4" s="14" t="n">
        <v>46301</v>
      </c>
      <c r="E4" s="15" t="inlineStr">
        <is>
          <t>Not in NSE official equity list</t>
        </is>
      </c>
    </row>
    <row r="5">
      <c r="A5" s="12" t="inlineStr">
        <is>
          <t>HEALTHADD</t>
        </is>
      </c>
      <c r="B5" s="13" t="inlineStr">
        <is>
          <t>DSP Nifty Healthcare ETF</t>
        </is>
      </c>
      <c r="C5" s="12" t="inlineStr">
        <is>
          <t>5★</t>
        </is>
      </c>
      <c r="D5" s="14" t="n">
        <v>46308</v>
      </c>
      <c r="E5" s="15" t="inlineStr">
        <is>
          <t>Not in NSE official equity list; In NSE official ETF list; Name/symbol contains: ETF</t>
        </is>
      </c>
    </row>
    <row r="6">
      <c r="A6" s="12" t="inlineStr">
        <is>
          <t>EBBETF0433</t>
        </is>
      </c>
      <c r="B6" s="13" t="inlineStr">
        <is>
          <t>Bharat Bond ETF - April 2033</t>
        </is>
      </c>
      <c r="C6" s="12" t="inlineStr">
        <is>
          <t>5★</t>
        </is>
      </c>
      <c r="D6" s="14" t="n">
        <v>46311</v>
      </c>
      <c r="E6" s="15" t="inlineStr">
        <is>
          <t>Not in NSE official equity list; In NSE official ETF list; Name/symbol contains: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2026-10-26T13:31:18Z</dcterms:created>
  <dcterms:modified xsi:type="dcterms:W3CDTF">2026-10-26T13:31:18Z</dcterms:modified>
</cp:coreProperties>
</file>