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Signals Log" sheetId="2" state="visible" r:id="rId2"/>
    <sheet name="Exclu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8" customWidth="1" min="9" max="9"/>
    <col width="13" customWidth="1" min="10" max="10"/>
    <col width="12" customWidth="1" min="11" max="11"/>
    <col width="13" customWidth="1" min="12" max="12"/>
    <col width="12" customWidth="1" min="13" max="13"/>
    <col width="10" customWidth="1" min="14" max="14"/>
    <col width="10" customWidth="1" min="15" max="15"/>
    <col width="13" customWidth="1" min="16" max="16"/>
    <col width="10" customWidth="1" min="17" max="17"/>
  </cols>
  <sheetData>
    <row r="1">
      <c r="A1" s="1" t="inlineStr">
        <is>
          <t>Capital per stock (Rs)</t>
        </is>
      </c>
      <c r="B1" t="n">
        <v>100000</v>
      </c>
      <c r="D1" s="1" t="inlineStr">
        <is>
          <t>Total Invested</t>
        </is>
      </c>
      <c r="E1" s="2">
        <f>SUM(J8:J38)</f>
        <v>3064170.25</v>
      </c>
      <c r="F1" s="1" t="inlineStr">
        <is>
          <t>Current Value</t>
        </is>
      </c>
      <c r="G1" s="2">
        <f>SUM(L8:L38)</f>
        <v>2985740.8</v>
      </c>
    </row>
    <row r="2">
      <c r="D2" s="1" t="inlineStr">
        <is>
          <t>Total P&amp;L (Rs)</t>
        </is>
      </c>
      <c r="E2" s="2">
        <f>SUM(M8:M38)</f>
        <v>-78429.45</v>
      </c>
      <c r="F2" s="1" t="inlineStr">
        <is>
          <t>Total P&amp;L %</t>
        </is>
      </c>
      <c r="G2" s="3">
        <f>IF(E1=0,"",G1/E1-1)</f>
        <v>-0.0255956567687452</v>
      </c>
    </row>
    <row r="3">
      <c r="A3" s="1" t="inlineStr">
        <is>
          <t>As-of date</t>
        </is>
      </c>
      <c r="B3" s="4" t="n">
        <v>46310</v>
      </c>
      <c r="D3" s="1" t="inlineStr">
        <is>
          <t>Winners</t>
        </is>
      </c>
      <c r="E3">
        <f>COUNTIF(M8:M38,"&gt;0")</f>
        <v>7</v>
      </c>
      <c r="F3" s="1" t="inlineStr">
        <is>
          <t>Losers</t>
        </is>
      </c>
      <c r="G3">
        <f>COUNTIF(M8:M38,"&lt;0")</f>
        <v>24</v>
      </c>
    </row>
    <row r="4">
      <c r="D4" s="1" t="inlineStr">
        <is>
          <t>Win Rate</t>
        </is>
      </c>
      <c r="E4" s="3">
        <f>IF((E3+G3)=0,"",E3/(E3+G3))</f>
        <v>0.22580645161290322</v>
      </c>
      <c r="F4" s="1" t="inlineStr">
        <is>
          <t>Avg Return / Stock</t>
        </is>
      </c>
      <c r="G4" s="3">
        <f>AVERAGE(N8:N38)</f>
        <v>-0.025787073050585047</v>
      </c>
    </row>
    <row r="5">
      <c r="D5" s="1" t="inlineStr">
        <is>
          <t>Best Stock</t>
        </is>
      </c>
      <c r="E5" t="str">
        <f>INDEX(B8:B38,MATCH(MAX(N8:N38),N8:N38,0))</f>
        <v>Viji Finance Limited</v>
      </c>
      <c r="F5" s="1" t="inlineStr">
        <is>
          <t>Worst Stock</t>
        </is>
      </c>
      <c r="G5" t="str">
        <f>INDEX(B8:B38,MATCH(MIN(N8:N38),N8:N38,0))</f>
        <v>Lloyds Enterprises Limited</v>
      </c>
    </row>
    <row r="6">
      <c r="D6" s="1" t="inlineStr">
        <is>
          <t>Avg Return 4★*</t>
        </is>
      </c>
      <c r="E6" s="3">
        <f>AVERAGEIF(D8:D38,"4★*",N8:N38)</f>
        <v>-0.04123686906021496</v>
      </c>
      <c r="F6" s="1" t="inlineStr">
        <is>
          <t>Avg Return 5★*</t>
        </is>
      </c>
      <c r="G6" s="3">
        <f>AVERAGEIF(D8:D38,"5★*",N8:N38)</f>
        <v>-0.011302889291557004</v>
      </c>
    </row>
    <row r="7" ht="32" customHeight="1">
      <c r="A7" s="5" t="inlineStr">
        <is>
          <t>Sr No</t>
        </is>
      </c>
      <c r="B7" s="5" t="inlineStr">
        <is>
          <t>Company</t>
        </is>
      </c>
      <c r="C7" s="5" t="inlineStr">
        <is>
          <t>Symbol</t>
        </is>
      </c>
      <c r="D7" s="5" t="inlineStr">
        <is>
          <t>Rating</t>
        </is>
      </c>
      <c r="E7" s="5" t="inlineStr">
        <is>
          <t>Signal Date(s)</t>
        </is>
      </c>
      <c r="F7" s="5" t="inlineStr">
        <is>
          <t>First Signal Date</t>
        </is>
      </c>
      <c r="G7" s="5" t="inlineStr">
        <is>
          <t>Buy Date</t>
        </is>
      </c>
      <c r="H7" s="5" t="inlineStr">
        <is>
          <t>Buy Price</t>
        </is>
      </c>
      <c r="I7" s="5" t="inlineStr">
        <is>
          <t>Qty</t>
        </is>
      </c>
      <c r="J7" s="5" t="inlineStr">
        <is>
          <t>Invested</t>
        </is>
      </c>
      <c r="K7" s="5" t="inlineStr">
        <is>
          <t>Latest Price</t>
        </is>
      </c>
      <c r="L7" s="5" t="inlineStr">
        <is>
          <t>Current Value</t>
        </is>
      </c>
      <c r="M7" s="5" t="inlineStr">
        <is>
          <t>P&amp;L Rs</t>
        </is>
      </c>
      <c r="N7" s="5" t="inlineStr">
        <is>
          <t>P&amp;L %</t>
        </is>
      </c>
      <c r="O7" s="5" t="inlineStr">
        <is>
          <t>Days Held</t>
        </is>
      </c>
      <c r="P7" s="5" t="inlineStr">
        <is>
          <t>Status</t>
        </is>
      </c>
      <c r="Q7" s="5" t="inlineStr">
        <is>
          <t>Times Appeared</t>
        </is>
      </c>
    </row>
    <row r="8">
      <c r="A8" s="6" t="n">
        <v>1</v>
      </c>
      <c r="B8" s="7" t="inlineStr">
        <is>
          <t>Prime Securities Limited</t>
        </is>
      </c>
      <c r="C8" s="6" t="inlineStr">
        <is>
          <t>PRIMESECU</t>
        </is>
      </c>
      <c r="D8" s="6" t="inlineStr">
        <is>
          <t>4★</t>
        </is>
      </c>
      <c r="E8" s="6" t="inlineStr">
        <is>
          <t>011026</t>
        </is>
      </c>
      <c r="F8" s="8" t="n">
        <v>46296</v>
      </c>
      <c r="G8" s="8" t="n">
        <v>46300</v>
      </c>
      <c r="H8" s="9" t="n">
        <v>300.76</v>
      </c>
      <c r="I8" s="6">
        <f>IF(H8="","",ROUNDDOWN($B$1/H8,0))</f>
        <v>332</v>
      </c>
      <c r="J8" s="9">
        <f>IF(H8="","",H8*I8)</f>
        <v>99851.29</v>
      </c>
      <c r="K8" s="9" t="n">
        <v>296.4</v>
      </c>
      <c r="L8" s="9">
        <f>IF(OR(I8="",K8=""),"",K8*I8)</f>
        <v>98404.8</v>
      </c>
      <c r="M8" s="9">
        <f>IF(L8="","",L8-J8)</f>
        <v>-1446.49</v>
      </c>
      <c r="N8" s="10">
        <f>IF(OR(H8="",K8=""),"",K8/H8-1)</f>
        <v>-0.014486476899144174</v>
      </c>
      <c r="O8" s="6">
        <f>IF(G8="","",$B$3-G8)</f>
        <v>10</v>
      </c>
      <c r="P8" s="6" t="str">
        <f>IF(H8="","Pending buy",IF(N8&gt;=0,"In profit","In loss"))</f>
        <v>In loss</v>
      </c>
      <c r="Q8" s="6" t="n">
        <v>2</v>
      </c>
    </row>
    <row r="9">
      <c r="A9" s="6" t="n">
        <v>2</v>
      </c>
      <c r="B9" s="7" t="inlineStr">
        <is>
          <t>ETERNAL LIMITED</t>
        </is>
      </c>
      <c r="C9" s="6" t="inlineStr">
        <is>
          <t>ETERNAL</t>
        </is>
      </c>
      <c r="D9" s="6" t="inlineStr">
        <is>
          <t>5★</t>
        </is>
      </c>
      <c r="E9" s="6" t="inlineStr">
        <is>
          <t>051026</t>
        </is>
      </c>
      <c r="F9" s="8" t="n">
        <v>46300</v>
      </c>
      <c r="G9" s="8" t="n">
        <v>46301</v>
      </c>
      <c r="H9" s="9" t="n">
        <v>325.78</v>
      </c>
      <c r="I9" s="6">
        <f>IF(H9="","",ROUNDDOWN($B$1/H9,0))</f>
        <v>306</v>
      </c>
      <c r="J9" s="9">
        <f>IF(H9="","",H9*I9)</f>
        <v>99687.42</v>
      </c>
      <c r="K9" s="9" t="n">
        <v>323</v>
      </c>
      <c r="L9" s="9">
        <f>IF(OR(I9="",K9=""),"",K9*I9)</f>
        <v>98838.0</v>
      </c>
      <c r="M9" s="9">
        <f>IF(L9="","",L9-J9)</f>
        <v>-849.42</v>
      </c>
      <c r="N9" s="10">
        <f>IF(OR(H9="",K9=""),"",K9/H9-1)</f>
        <v>-0.008520836393527742</v>
      </c>
      <c r="O9" s="6">
        <f>IF(G9="","",$B$3-G9)</f>
        <v>9</v>
      </c>
      <c r="P9" s="6" t="str">
        <f>IF(H9="","Pending buy",IF(N9&gt;=0,"In profit","In loss"))</f>
        <v>In loss</v>
      </c>
      <c r="Q9" s="6" t="n">
        <v>1</v>
      </c>
    </row>
    <row r="10">
      <c r="A10" s="6" t="n">
        <v>3</v>
      </c>
      <c r="B10" s="7" t="inlineStr">
        <is>
          <t>HALEOS LABS LIMITED</t>
        </is>
      </c>
      <c r="C10" s="6" t="inlineStr">
        <is>
          <t>HALEOSLABS</t>
        </is>
      </c>
      <c r="D10" s="6" t="inlineStr">
        <is>
          <t>4★</t>
        </is>
      </c>
      <c r="E10" s="6" t="inlineStr">
        <is>
          <t>051026</t>
        </is>
      </c>
      <c r="F10" s="8" t="n">
        <v>46300</v>
      </c>
      <c r="G10" s="8" t="n">
        <v>46301</v>
      </c>
      <c r="H10" s="9" t="n">
        <v>1581.07</v>
      </c>
      <c r="I10" s="6">
        <f>IF(H10="","",ROUNDDOWN($B$1/H10,0))</f>
        <v>63</v>
      </c>
      <c r="J10" s="9">
        <f>IF(H10="","",H10*I10)</f>
        <v>99607.14</v>
      </c>
      <c r="K10" s="9" t="n">
        <v>1559</v>
      </c>
      <c r="L10" s="9">
        <f>IF(OR(I10="",K10=""),"",K10*I10)</f>
        <v>98217.0</v>
      </c>
      <c r="M10" s="9">
        <f>IF(L10="","",L10-J10)</f>
        <v>-1390.14</v>
      </c>
      <c r="N10" s="10">
        <f>IF(OR(H10="",K10=""),"",K10/H10-1)</f>
        <v>-0.013956237615722733</v>
      </c>
      <c r="O10" s="6">
        <f>IF(G10="","",$B$3-G10)</f>
        <v>9</v>
      </c>
      <c r="P10" s="6" t="str">
        <f>IF(H10="","Pending buy",IF(N10&gt;=0,"In profit","In loss"))</f>
        <v>In loss</v>
      </c>
      <c r="Q10" s="6" t="n">
        <v>1</v>
      </c>
    </row>
    <row r="11">
      <c r="A11" s="6" t="n">
        <v>4</v>
      </c>
      <c r="B11" s="7" t="inlineStr">
        <is>
          <t>Lloyds Enterprises Limited</t>
        </is>
      </c>
      <c r="C11" s="6" t="inlineStr">
        <is>
          <t>LLOYDSENT</t>
        </is>
      </c>
      <c r="D11" s="6" t="inlineStr">
        <is>
          <t>4★</t>
        </is>
      </c>
      <c r="E11" s="6" t="inlineStr">
        <is>
          <t>051026</t>
        </is>
      </c>
      <c r="F11" s="8" t="n">
        <v>46300</v>
      </c>
      <c r="G11" s="8" t="n">
        <v>46301</v>
      </c>
      <c r="H11" s="9" t="n">
        <v>79.88</v>
      </c>
      <c r="I11" s="6">
        <f>IF(H11="","",ROUNDDOWN($B$1/H11,0))</f>
        <v>1251</v>
      </c>
      <c r="J11" s="9">
        <f>IF(H11="","",H11*I11)</f>
        <v>99927.23</v>
      </c>
      <c r="K11" s="9" t="n">
        <v>70.31</v>
      </c>
      <c r="L11" s="9">
        <f>IF(OR(I11="",K11=""),"",K11*I11)</f>
        <v>87957.81</v>
      </c>
      <c r="M11" s="9">
        <f>IF(L11="","",L11-J11)</f>
        <v>-11969.42</v>
      </c>
      <c r="N11" s="10">
        <f>IF(OR(H11="",K11=""),"",K11/H11-1)</f>
        <v>-0.11978136826412089</v>
      </c>
      <c r="O11" s="6">
        <f>IF(G11="","",$B$3-G11)</f>
        <v>9</v>
      </c>
      <c r="P11" s="6" t="str">
        <f>IF(H11="","Pending buy",IF(N11&gt;=0,"In profit","In loss"))</f>
        <v>In loss</v>
      </c>
      <c r="Q11" s="6" t="n">
        <v>1</v>
      </c>
    </row>
    <row r="12">
      <c r="A12" s="6" t="n">
        <v>5</v>
      </c>
      <c r="B12" s="7" t="inlineStr">
        <is>
          <t>Neuland Laboratories Limited</t>
        </is>
      </c>
      <c r="C12" s="6" t="inlineStr">
        <is>
          <t>NEULANDLAB</t>
        </is>
      </c>
      <c r="D12" s="6" t="inlineStr">
        <is>
          <t>5★</t>
        </is>
      </c>
      <c r="E12" s="6" t="inlineStr">
        <is>
          <t>051026</t>
        </is>
      </c>
      <c r="F12" s="8" t="n">
        <v>46300</v>
      </c>
      <c r="G12" s="8" t="n">
        <v>46301</v>
      </c>
      <c r="H12" s="9" t="n">
        <v>21634.28</v>
      </c>
      <c r="I12" s="6">
        <f>IF(H12="","",ROUNDDOWN($B$1/H12,0))</f>
        <v>4</v>
      </c>
      <c r="J12" s="9">
        <f>IF(H12="","",H12*I12)</f>
        <v>86537.12</v>
      </c>
      <c r="K12" s="9" t="n">
        <v>19955</v>
      </c>
      <c r="L12" s="9">
        <f>IF(OR(I12="",K12=""),"",K12*I12)</f>
        <v>79820.0</v>
      </c>
      <c r="M12" s="9">
        <f>IF(L12="","",L12-J12)</f>
        <v>-6717.12</v>
      </c>
      <c r="N12" s="10">
        <f>IF(OR(H12="",K12=""),"",K12/H12-1)</f>
        <v>-0.0776212154924718</v>
      </c>
      <c r="O12" s="6">
        <f>IF(G12="","",$B$3-G12)</f>
        <v>9</v>
      </c>
      <c r="P12" s="6" t="str">
        <f>IF(H12="","Pending buy",IF(N12&gt;=0,"In profit","In loss"))</f>
        <v>In loss</v>
      </c>
      <c r="Q12" s="6" t="n">
        <v>1</v>
      </c>
    </row>
    <row r="13">
      <c r="A13" s="6" t="n">
        <v>6</v>
      </c>
      <c r="B13" s="7" t="inlineStr">
        <is>
          <t>Nuvama Wealth Management Limited</t>
        </is>
      </c>
      <c r="C13" s="6" t="inlineStr">
        <is>
          <t>NUVAMA</t>
        </is>
      </c>
      <c r="D13" s="6" t="inlineStr">
        <is>
          <t>4★</t>
        </is>
      </c>
      <c r="E13" s="6" t="inlineStr">
        <is>
          <t>051026</t>
        </is>
      </c>
      <c r="F13" s="8" t="n">
        <v>46300</v>
      </c>
      <c r="G13" s="8" t="n">
        <v>46301</v>
      </c>
      <c r="H13" s="9" t="n">
        <v>1852.41</v>
      </c>
      <c r="I13" s="6">
        <f>IF(H13="","",ROUNDDOWN($B$1/H13,0))</f>
        <v>53</v>
      </c>
      <c r="J13" s="9">
        <f>IF(H13="","",H13*I13)</f>
        <v>98177.53</v>
      </c>
      <c r="K13" s="9" t="n">
        <v>1717.2</v>
      </c>
      <c r="L13" s="9">
        <f>IF(OR(I13="",K13=""),"",K13*I13)</f>
        <v>91011.6</v>
      </c>
      <c r="M13" s="9">
        <f>IF(L13="","",L13-J13)</f>
        <v>-7165.93</v>
      </c>
      <c r="N13" s="10">
        <f>IF(OR(H13="",K13=""),"",K13/H13-1)</f>
        <v>-0.07298954177701378</v>
      </c>
      <c r="O13" s="6">
        <f>IF(G13="","",$B$3-G13)</f>
        <v>9</v>
      </c>
      <c r="P13" s="6" t="str">
        <f>IF(H13="","Pending buy",IF(N13&gt;=0,"In profit","In loss"))</f>
        <v>In loss</v>
      </c>
      <c r="Q13" s="6" t="n">
        <v>1</v>
      </c>
    </row>
    <row r="14">
      <c r="A14" s="6" t="n">
        <v>7</v>
      </c>
      <c r="B14" s="7" t="inlineStr">
        <is>
          <t>Radico Khaitan Limited</t>
        </is>
      </c>
      <c r="C14" s="6" t="inlineStr">
        <is>
          <t>RADICO</t>
        </is>
      </c>
      <c r="D14" s="6" t="inlineStr">
        <is>
          <t>5★</t>
        </is>
      </c>
      <c r="E14" s="6" t="inlineStr">
        <is>
          <t>051026</t>
        </is>
      </c>
      <c r="F14" s="8" t="n">
        <v>46300</v>
      </c>
      <c r="G14" s="8" t="n">
        <v>46301</v>
      </c>
      <c r="H14" s="9" t="n">
        <v>4439.43</v>
      </c>
      <c r="I14" s="6">
        <f>IF(H14="","",ROUNDDOWN($B$1/H14,0))</f>
        <v>22</v>
      </c>
      <c r="J14" s="9">
        <f>IF(H14="","",H14*I14)</f>
        <v>97667.46</v>
      </c>
      <c r="K14" s="9" t="n">
        <v>4449</v>
      </c>
      <c r="L14" s="9">
        <f>IF(OR(I14="",K14=""),"",K14*I14)</f>
        <v>97878.0</v>
      </c>
      <c r="M14" s="9">
        <f>IF(L14="","",L14-J14)</f>
        <v>210.54</v>
      </c>
      <c r="N14" s="10">
        <f>IF(OR(H14="",K14=""),"",K14/H14-1)</f>
        <v>0.002155639257839015</v>
      </c>
      <c r="O14" s="6">
        <f>IF(G14="","",$B$3-G14)</f>
        <v>9</v>
      </c>
      <c r="P14" s="6" t="str">
        <f>IF(H14="","Pending buy",IF(N14&gt;=0,"In profit","In loss"))</f>
        <v>In profit</v>
      </c>
      <c r="Q14" s="6" t="n">
        <v>1</v>
      </c>
    </row>
    <row r="15">
      <c r="A15" s="6" t="n">
        <v>8</v>
      </c>
      <c r="B15" s="7" t="inlineStr">
        <is>
          <t>Ador Welding Limited</t>
        </is>
      </c>
      <c r="C15" s="6" t="inlineStr">
        <is>
          <t>ADOR</t>
        </is>
      </c>
      <c r="D15" s="6" t="inlineStr">
        <is>
          <t>5★</t>
        </is>
      </c>
      <c r="E15" s="6" t="inlineStr">
        <is>
          <t>061026</t>
        </is>
      </c>
      <c r="F15" s="8" t="n">
        <v>46301</v>
      </c>
      <c r="G15" s="8" t="n">
        <v>46302</v>
      </c>
      <c r="H15" s="9" t="n">
        <v>1548.1</v>
      </c>
      <c r="I15" s="6">
        <f>IF(H15="","",ROUNDDOWN($B$1/H15,0))</f>
        <v>64</v>
      </c>
      <c r="J15" s="9">
        <f>IF(H15="","",H15*I15)</f>
        <v>99078.19</v>
      </c>
      <c r="K15" s="9" t="n">
        <v>1520.9</v>
      </c>
      <c r="L15" s="9">
        <f>IF(OR(I15="",K15=""),"",K15*I15)</f>
        <v>97337.6</v>
      </c>
      <c r="M15" s="9">
        <f>IF(L15="","",L15-J15)</f>
        <v>-1740.59</v>
      </c>
      <c r="N15" s="10">
        <f>IF(OR(H15="",K15=""),"",K15/H15-1)</f>
        <v>-0.017567818169103022</v>
      </c>
      <c r="O15" s="6">
        <f>IF(G15="","",$B$3-G15)</f>
        <v>8</v>
      </c>
      <c r="P15" s="6" t="str">
        <f>IF(H15="","Pending buy",IF(N15&gt;=0,"In profit","In loss"))</f>
        <v>In loss</v>
      </c>
      <c r="Q15" s="6" t="n">
        <v>2</v>
      </c>
    </row>
    <row r="16">
      <c r="A16" s="6" t="n">
        <v>9</v>
      </c>
      <c r="B16" s="7" t="inlineStr">
        <is>
          <t>Ather Energy Limited</t>
        </is>
      </c>
      <c r="C16" s="6" t="inlineStr">
        <is>
          <t>ATHERENERG</t>
        </is>
      </c>
      <c r="D16" s="6" t="inlineStr">
        <is>
          <t>5★</t>
        </is>
      </c>
      <c r="E16" s="6" t="inlineStr">
        <is>
          <t>061026</t>
        </is>
      </c>
      <c r="F16" s="8" t="n">
        <v>46301</v>
      </c>
      <c r="G16" s="8" t="n">
        <v>46302</v>
      </c>
      <c r="H16" s="9" t="n">
        <v>1449.38</v>
      </c>
      <c r="I16" s="6">
        <f>IF(H16="","",ROUNDDOWN($B$1/H16,0))</f>
        <v>68</v>
      </c>
      <c r="J16" s="9">
        <f>IF(H16="","",H16*I16)</f>
        <v>98557.54</v>
      </c>
      <c r="K16" s="9" t="n">
        <v>1470</v>
      </c>
      <c r="L16" s="9">
        <f>IF(OR(I16="",K16=""),"",K16*I16)</f>
        <v>99960.0</v>
      </c>
      <c r="M16" s="9">
        <f>IF(L16="","",L16-J16)</f>
        <v>1402.46</v>
      </c>
      <c r="N16" s="10">
        <f>IF(OR(H16="",K16=""),"",K16/H16-1)</f>
        <v>0.014229895892054145</v>
      </c>
      <c r="O16" s="6">
        <f>IF(G16="","",$B$3-G16)</f>
        <v>8</v>
      </c>
      <c r="P16" s="6" t="str">
        <f>IF(H16="","Pending buy",IF(N16&gt;=0,"In profit","In loss"))</f>
        <v>In profit</v>
      </c>
      <c r="Q16" s="6" t="n">
        <v>2</v>
      </c>
    </row>
    <row r="17">
      <c r="A17" s="6" t="n">
        <v>10</v>
      </c>
      <c r="B17" s="7" t="inlineStr">
        <is>
          <t>Black Box Limited</t>
        </is>
      </c>
      <c r="C17" s="6" t="inlineStr">
        <is>
          <t>BBOX</t>
        </is>
      </c>
      <c r="D17" s="6" t="inlineStr">
        <is>
          <t>4★</t>
        </is>
      </c>
      <c r="E17" s="6" t="inlineStr">
        <is>
          <t>061026</t>
        </is>
      </c>
      <c r="F17" s="8" t="n">
        <v>46301</v>
      </c>
      <c r="G17" s="8" t="n">
        <v>46302</v>
      </c>
      <c r="H17" s="9" t="n">
        <v>867.08</v>
      </c>
      <c r="I17" s="6">
        <f>IF(H17="","",ROUNDDOWN($B$1/H17,0))</f>
        <v>115</v>
      </c>
      <c r="J17" s="9">
        <f>IF(H17="","",H17*I17)</f>
        <v>99714.35</v>
      </c>
      <c r="K17" s="9" t="n">
        <v>880.2</v>
      </c>
      <c r="L17" s="9">
        <f>IF(OR(I17="",K17=""),"",K17*I17)</f>
        <v>101223.0</v>
      </c>
      <c r="M17" s="9">
        <f>IF(L17="","",L17-J17)</f>
        <v>1508.65</v>
      </c>
      <c r="N17" s="10">
        <f>IF(OR(H17="",K17=""),"",K17/H17-1)</f>
        <v>0.015129717276051835</v>
      </c>
      <c r="O17" s="6">
        <f>IF(G17="","",$B$3-G17)</f>
        <v>8</v>
      </c>
      <c r="P17" s="6" t="str">
        <f>IF(H17="","Pending buy",IF(N17&gt;=0,"In profit","In loss"))</f>
        <v>In profit</v>
      </c>
      <c r="Q17" s="6" t="n">
        <v>1</v>
      </c>
    </row>
    <row r="18">
      <c r="A18" s="6" t="n">
        <v>11</v>
      </c>
      <c r="B18" s="7" t="inlineStr">
        <is>
          <t>GE Power India Limited</t>
        </is>
      </c>
      <c r="C18" s="6" t="inlineStr">
        <is>
          <t>GVPIL</t>
        </is>
      </c>
      <c r="D18" s="6" t="inlineStr">
        <is>
          <t>4★</t>
        </is>
      </c>
      <c r="E18" s="6" t="inlineStr">
        <is>
          <t>061026</t>
        </is>
      </c>
      <c r="F18" s="8" t="n">
        <v>46301</v>
      </c>
      <c r="G18" s="8" t="n">
        <v>46302</v>
      </c>
      <c r="H18" s="9" t="n">
        <v>706.36</v>
      </c>
      <c r="I18" s="6">
        <f>IF(H18="","",ROUNDDOWN($B$1/H18,0))</f>
        <v>141</v>
      </c>
      <c r="J18" s="9">
        <f>IF(H18="","",H18*I18)</f>
        <v>99596.83</v>
      </c>
      <c r="K18" s="9" t="n">
        <v>625.6</v>
      </c>
      <c r="L18" s="9">
        <f>IF(OR(I18="",K18=""),"",K18*I18)</f>
        <v>88209.6</v>
      </c>
      <c r="M18" s="9">
        <f>IF(L18="","",L18-J18)</f>
        <v>-11387.23</v>
      </c>
      <c r="N18" s="10">
        <f>IF(OR(H18="",K18=""),"",K18/H18-1)</f>
        <v>-0.11433329820160443</v>
      </c>
      <c r="O18" s="6">
        <f>IF(G18="","",$B$3-G18)</f>
        <v>8</v>
      </c>
      <c r="P18" s="6" t="str">
        <f>IF(H18="","Pending buy",IF(N18&gt;=0,"In profit","In loss"))</f>
        <v>In loss</v>
      </c>
      <c r="Q18" s="6" t="n">
        <v>1</v>
      </c>
    </row>
    <row r="19">
      <c r="A19" s="6" t="n">
        <v>12</v>
      </c>
      <c r="B19" s="7" t="inlineStr">
        <is>
          <t>Jamna Auto Industries Limited</t>
        </is>
      </c>
      <c r="C19" s="6" t="inlineStr">
        <is>
          <t>JAMNAAUTO</t>
        </is>
      </c>
      <c r="D19" s="6" t="inlineStr">
        <is>
          <t>4★</t>
        </is>
      </c>
      <c r="E19" s="6" t="inlineStr">
        <is>
          <t>061026</t>
        </is>
      </c>
      <c r="F19" s="8" t="n">
        <v>46301</v>
      </c>
      <c r="G19" s="8" t="n">
        <v>46302</v>
      </c>
      <c r="H19" s="9" t="n">
        <v>150.82</v>
      </c>
      <c r="I19" s="6">
        <f>IF(H19="","",ROUNDDOWN($B$1/H19,0))</f>
        <v>663</v>
      </c>
      <c r="J19" s="9">
        <f>IF(H19="","",H19*I19)</f>
        <v>99993.07</v>
      </c>
      <c r="K19" s="9" t="n">
        <v>142.54</v>
      </c>
      <c r="L19" s="9">
        <f>IF(OR(I19="",K19=""),"",K19*I19)</f>
        <v>94504.02</v>
      </c>
      <c r="M19" s="9">
        <f>IF(L19="","",L19-J19)</f>
        <v>-5489.05</v>
      </c>
      <c r="N19" s="10">
        <f>IF(OR(H19="",K19=""),"",K19/H19-1)</f>
        <v>-0.054894259648262334</v>
      </c>
      <c r="O19" s="6">
        <f>IF(G19="","",$B$3-G19)</f>
        <v>8</v>
      </c>
      <c r="P19" s="6" t="str">
        <f>IF(H19="","Pending buy",IF(N19&gt;=0,"In profit","In loss"))</f>
        <v>In loss</v>
      </c>
      <c r="Q19" s="6" t="n">
        <v>2</v>
      </c>
    </row>
    <row r="20">
      <c r="A20" s="6" t="n">
        <v>13</v>
      </c>
      <c r="B20" s="7" t="inlineStr">
        <is>
          <t>Omax Autos Limited</t>
        </is>
      </c>
      <c r="C20" s="6" t="inlineStr">
        <is>
          <t>OMAXAUTO</t>
        </is>
      </c>
      <c r="D20" s="6" t="inlineStr">
        <is>
          <t>4★</t>
        </is>
      </c>
      <c r="E20" s="6" t="inlineStr">
        <is>
          <t>061026</t>
        </is>
      </c>
      <c r="F20" s="8" t="n">
        <v>46301</v>
      </c>
      <c r="G20" s="8" t="n">
        <v>46302</v>
      </c>
      <c r="H20" s="9" t="n">
        <v>209.43</v>
      </c>
      <c r="I20" s="6">
        <f>IF(H20="","",ROUNDDOWN($B$1/H20,0))</f>
        <v>477</v>
      </c>
      <c r="J20" s="9">
        <f>IF(H20="","",H20*I20)</f>
        <v>99896.43</v>
      </c>
      <c r="K20" s="9" t="n">
        <v>202.72</v>
      </c>
      <c r="L20" s="9">
        <f>IF(OR(I20="",K20=""),"",K20*I20)</f>
        <v>96697.44</v>
      </c>
      <c r="M20" s="9">
        <f>IF(L20="","",L20-J20)</f>
        <v>-3198.99</v>
      </c>
      <c r="N20" s="10">
        <f>IF(OR(H20="",K20=""),"",K20/H20-1)</f>
        <v>-0.0320230663478952</v>
      </c>
      <c r="O20" s="6">
        <f>IF(G20="","",$B$3-G20)</f>
        <v>8</v>
      </c>
      <c r="P20" s="6" t="str">
        <f>IF(H20="","Pending buy",IF(N20&gt;=0,"In profit","In loss"))</f>
        <v>In loss</v>
      </c>
      <c r="Q20" s="6" t="n">
        <v>1</v>
      </c>
    </row>
    <row r="21">
      <c r="A21" s="6" t="n">
        <v>14</v>
      </c>
      <c r="B21" s="7" t="inlineStr">
        <is>
          <t>Senores Pharmaceuticals Limited</t>
        </is>
      </c>
      <c r="C21" s="6" t="inlineStr">
        <is>
          <t>SENORES</t>
        </is>
      </c>
      <c r="D21" s="6" t="inlineStr">
        <is>
          <t>5★</t>
        </is>
      </c>
      <c r="E21" s="6" t="inlineStr">
        <is>
          <t>061026</t>
        </is>
      </c>
      <c r="F21" s="8" t="n">
        <v>46301</v>
      </c>
      <c r="G21" s="8" t="n">
        <v>46302</v>
      </c>
      <c r="H21" s="9" t="n">
        <v>1400.7</v>
      </c>
      <c r="I21" s="6">
        <f>IF(H21="","",ROUNDDOWN($B$1/H21,0))</f>
        <v>71</v>
      </c>
      <c r="J21" s="9">
        <f>IF(H21="","",H21*I21)</f>
        <v>99449.47</v>
      </c>
      <c r="K21" s="9" t="n">
        <v>1258.8</v>
      </c>
      <c r="L21" s="9">
        <f>IF(OR(I21="",K21=""),"",K21*I21)</f>
        <v>89374.8</v>
      </c>
      <c r="M21" s="9">
        <f>IF(L21="","",L21-J21)</f>
        <v>-10074.67</v>
      </c>
      <c r="N21" s="10">
        <f>IF(OR(H21="",K21=""),"",K21/H21-1)</f>
        <v>-0.10130437809146031</v>
      </c>
      <c r="O21" s="6">
        <f>IF(G21="","",$B$3-G21)</f>
        <v>8</v>
      </c>
      <c r="P21" s="6" t="str">
        <f>IF(H21="","Pending buy",IF(N21&gt;=0,"In profit","In loss"))</f>
        <v>In loss</v>
      </c>
      <c r="Q21" s="6" t="n">
        <v>1</v>
      </c>
    </row>
    <row r="22">
      <c r="A22" s="6" t="n">
        <v>15</v>
      </c>
      <c r="B22" s="7" t="inlineStr">
        <is>
          <t>United Foodbrands Limited</t>
        </is>
      </c>
      <c r="C22" s="6" t="inlineStr">
        <is>
          <t>UFBL</t>
        </is>
      </c>
      <c r="D22" s="6" t="inlineStr">
        <is>
          <t>5★</t>
        </is>
      </c>
      <c r="E22" s="6" t="inlineStr">
        <is>
          <t>061026</t>
        </is>
      </c>
      <c r="F22" s="8" t="n">
        <v>46301</v>
      </c>
      <c r="G22" s="8" t="n">
        <v>46302</v>
      </c>
      <c r="H22" s="9" t="n">
        <v>693.3099999999999</v>
      </c>
      <c r="I22" s="6">
        <f>IF(H22="","",ROUNDDOWN($B$1/H22,0))</f>
        <v>144</v>
      </c>
      <c r="J22" s="9">
        <f>IF(H22="","",H22*I22)</f>
        <v>99837.05</v>
      </c>
      <c r="K22" s="9" t="n">
        <v>663.25</v>
      </c>
      <c r="L22" s="9">
        <f>IF(OR(I22="",K22=""),"",K22*I22)</f>
        <v>95508.0</v>
      </c>
      <c r="M22" s="9">
        <f>IF(L22="","",L22-J22)</f>
        <v>-4329.05</v>
      </c>
      <c r="N22" s="10">
        <f>IF(OR(H22="",K22=""),"",K22/H22-1)</f>
        <v>-0.04336116773718268</v>
      </c>
      <c r="O22" s="6">
        <f>IF(G22="","",$B$3-G22)</f>
        <v>8</v>
      </c>
      <c r="P22" s="6" t="str">
        <f>IF(H22="","Pending buy",IF(N22&gt;=0,"In profit","In loss"))</f>
        <v>In loss</v>
      </c>
      <c r="Q22" s="6" t="n">
        <v>1</v>
      </c>
    </row>
    <row r="23">
      <c r="A23" s="6" t="n">
        <v>16</v>
      </c>
      <c r="B23" s="7" t="inlineStr">
        <is>
          <t>Vishnu Chemicals Limited</t>
        </is>
      </c>
      <c r="C23" s="6" t="inlineStr">
        <is>
          <t>VISHNU</t>
        </is>
      </c>
      <c r="D23" s="6" t="inlineStr">
        <is>
          <t>5★</t>
        </is>
      </c>
      <c r="E23" s="6" t="inlineStr">
        <is>
          <t>061026</t>
        </is>
      </c>
      <c r="F23" s="8" t="n">
        <v>46301</v>
      </c>
      <c r="G23" s="8" t="n">
        <v>46302</v>
      </c>
      <c r="H23" s="9" t="n">
        <v>686.12</v>
      </c>
      <c r="I23" s="6">
        <f>IF(H23="","",ROUNDDOWN($B$1/H23,0))</f>
        <v>145</v>
      </c>
      <c r="J23" s="9">
        <f>IF(H23="","",H23*I23)</f>
        <v>99486.88</v>
      </c>
      <c r="K23" s="9" t="n">
        <v>640.5</v>
      </c>
      <c r="L23" s="9">
        <f>IF(OR(I23="",K23=""),"",K23*I23)</f>
        <v>92872.5</v>
      </c>
      <c r="M23" s="9">
        <f>IF(L23="","",L23-J23)</f>
        <v>-6614.38</v>
      </c>
      <c r="N23" s="10">
        <f>IF(OR(H23="",K23=""),"",K23/H23-1)</f>
        <v>-0.06648495872905946</v>
      </c>
      <c r="O23" s="6">
        <f>IF(G23="","",$B$3-G23)</f>
        <v>8</v>
      </c>
      <c r="P23" s="6" t="str">
        <f>IF(H23="","Pending buy",IF(N23&gt;=0,"In profit","In loss"))</f>
        <v>In loss</v>
      </c>
      <c r="Q23" s="6" t="n">
        <v>1</v>
      </c>
    </row>
    <row r="24">
      <c r="A24" s="6" t="n">
        <v>17</v>
      </c>
      <c r="B24" s="7" t="inlineStr">
        <is>
          <t>Mangal Credit and Fincorp Limited</t>
        </is>
      </c>
      <c r="C24" s="6" t="inlineStr">
        <is>
          <t>MANCREDIT</t>
        </is>
      </c>
      <c r="D24" s="6" t="inlineStr">
        <is>
          <t>4★</t>
        </is>
      </c>
      <c r="E24" s="6" t="inlineStr">
        <is>
          <t>071026</t>
        </is>
      </c>
      <c r="F24" s="8" t="n">
        <v>46302</v>
      </c>
      <c r="G24" s="8" t="n">
        <v>46303</v>
      </c>
      <c r="H24" s="9" t="n">
        <v>227.64</v>
      </c>
      <c r="I24" s="6">
        <f>IF(H24="","",ROUNDDOWN($B$1/H24,0))</f>
        <v>439</v>
      </c>
      <c r="J24" s="9">
        <f>IF(H24="","",H24*I24)</f>
        <v>99935.4</v>
      </c>
      <c r="K24" s="9" t="n">
        <v>221.03</v>
      </c>
      <c r="L24" s="9">
        <f>IF(OR(I24="",K24=""),"",K24*I24)</f>
        <v>97032.17</v>
      </c>
      <c r="M24" s="9">
        <f>IF(L24="","",L24-J24)</f>
        <v>-2903.23</v>
      </c>
      <c r="N24" s="10">
        <f>IF(OR(H24="",K24=""),"",K24/H24-1)</f>
        <v>-0.02905105341635017</v>
      </c>
      <c r="O24" s="6">
        <f>IF(G24="","",$B$3-G24)</f>
        <v>7</v>
      </c>
      <c r="P24" s="6" t="str">
        <f>IF(H24="","Pending buy",IF(N24&gt;=0,"In profit","In loss"))</f>
        <v>In loss</v>
      </c>
      <c r="Q24" s="6" t="n">
        <v>1</v>
      </c>
    </row>
    <row r="25">
      <c r="A25" s="6" t="n">
        <v>18</v>
      </c>
      <c r="B25" s="7" t="inlineStr">
        <is>
          <t>Mayur Uniquoters Ltd</t>
        </is>
      </c>
      <c r="C25" s="6" t="inlineStr">
        <is>
          <t>MAYURUNIQ</t>
        </is>
      </c>
      <c r="D25" s="6" t="inlineStr">
        <is>
          <t>4★</t>
        </is>
      </c>
      <c r="E25" s="6" t="inlineStr">
        <is>
          <t>091026</t>
        </is>
      </c>
      <c r="F25" s="8" t="n">
        <v>46304</v>
      </c>
      <c r="G25" s="8" t="n">
        <v>46307</v>
      </c>
      <c r="H25" s="9" t="n">
        <v>803.41</v>
      </c>
      <c r="I25" s="6">
        <f>IF(H25="","",ROUNDDOWN($B$1/H25,0))</f>
        <v>124</v>
      </c>
      <c r="J25" s="9">
        <f>IF(H25="","",H25*I25)</f>
        <v>99622.64</v>
      </c>
      <c r="K25" s="9" t="n">
        <v>790.65</v>
      </c>
      <c r="L25" s="9">
        <f>IF(OR(I25="",K25=""),"",K25*I25)</f>
        <v>98040.6</v>
      </c>
      <c r="M25" s="9">
        <f>IF(L25="","",L25-J25)</f>
        <v>-1582.04</v>
      </c>
      <c r="N25" s="10">
        <f>IF(OR(H25="",K25=""),"",K25/H25-1)</f>
        <v>-0.01588029035665084</v>
      </c>
      <c r="O25" s="6">
        <f>IF(G25="","",$B$3-G25)</f>
        <v>3</v>
      </c>
      <c r="P25" s="6" t="str">
        <f>IF(H25="","Pending buy",IF(N25&gt;=0,"In profit","In loss"))</f>
        <v>In loss</v>
      </c>
      <c r="Q25" s="6" t="n">
        <v>1</v>
      </c>
    </row>
    <row r="26">
      <c r="A26" s="6" t="n">
        <v>19</v>
      </c>
      <c r="B26" s="7" t="inlineStr">
        <is>
          <t>Ujaas Energy Limited</t>
        </is>
      </c>
      <c r="C26" s="6" t="inlineStr">
        <is>
          <t>UEL</t>
        </is>
      </c>
      <c r="D26" s="6" t="inlineStr">
        <is>
          <t>4★</t>
        </is>
      </c>
      <c r="E26" s="6" t="inlineStr">
        <is>
          <t>091026</t>
        </is>
      </c>
      <c r="F26" s="8" t="n">
        <v>46304</v>
      </c>
      <c r="G26" s="8" t="n">
        <v>46307</v>
      </c>
      <c r="H26" s="9" t="n">
        <v>210.42</v>
      </c>
      <c r="I26" s="6">
        <f>IF(H26="","",ROUNDDOWN($B$1/H26,0))</f>
        <v>475</v>
      </c>
      <c r="J26" s="9">
        <f>IF(H26="","",H26*I26)</f>
        <v>99948.17</v>
      </c>
      <c r="K26" s="9" t="n">
        <v>196.99</v>
      </c>
      <c r="L26" s="9">
        <f>IF(OR(I26="",K26=""),"",K26*I26)</f>
        <v>93570.25</v>
      </c>
      <c r="M26" s="9">
        <f>IF(L26="","",L26-J26)</f>
        <v>-6377.92</v>
      </c>
      <c r="N26" s="10">
        <f>IF(OR(H26="",K26=""),"",K26/H26-1)</f>
        <v>-0.06381224275717812</v>
      </c>
      <c r="O26" s="6">
        <f>IF(G26="","",$B$3-G26)</f>
        <v>3</v>
      </c>
      <c r="P26" s="6" t="str">
        <f>IF(H26="","Pending buy",IF(N26&gt;=0,"In profit","In loss"))</f>
        <v>In loss</v>
      </c>
      <c r="Q26" s="6" t="n">
        <v>1</v>
      </c>
    </row>
    <row r="27">
      <c r="A27" s="6" t="n">
        <v>20</v>
      </c>
      <c r="B27" s="7" t="inlineStr">
        <is>
          <t>Commercial Syn Bags Limited</t>
        </is>
      </c>
      <c r="C27" s="6" t="inlineStr">
        <is>
          <t>COMSYN</t>
        </is>
      </c>
      <c r="D27" s="6" t="inlineStr">
        <is>
          <t>5★</t>
        </is>
      </c>
      <c r="E27" s="6" t="inlineStr">
        <is>
          <t>121026</t>
        </is>
      </c>
      <c r="F27" s="8" t="n">
        <v>46307</v>
      </c>
      <c r="G27" s="8" t="n">
        <v>46308</v>
      </c>
      <c r="H27" s="9" t="n">
        <v>261.11</v>
      </c>
      <c r="I27" s="6">
        <f>IF(H27="","",ROUNDDOWN($B$1/H27,0))</f>
        <v>382</v>
      </c>
      <c r="J27" s="9">
        <f>IF(H27="","",H27*I27)</f>
        <v>99745.27</v>
      </c>
      <c r="K27" s="9" t="n">
        <v>251.05</v>
      </c>
      <c r="L27" s="9">
        <f>IF(OR(I27="",K27=""),"",K27*I27)</f>
        <v>95901.1</v>
      </c>
      <c r="M27" s="9">
        <f>IF(L27="","",L27-J27)</f>
        <v>-3844.17</v>
      </c>
      <c r="N27" s="10">
        <f>IF(OR(H27="",K27=""),"",K27/H27-1)</f>
        <v>-0.038539901149416744</v>
      </c>
      <c r="O27" s="6">
        <f>IF(G27="","",$B$3-G27)</f>
        <v>2</v>
      </c>
      <c r="P27" s="6" t="str">
        <f>IF(H27="","Pending buy",IF(N27&gt;=0,"In profit","In loss"))</f>
        <v>In loss</v>
      </c>
      <c r="Q27" s="6" t="n">
        <v>1</v>
      </c>
    </row>
    <row r="28">
      <c r="A28" s="6" t="n">
        <v>21</v>
      </c>
      <c r="B28" s="7" t="inlineStr">
        <is>
          <t>Craftsman Automation Limited</t>
        </is>
      </c>
      <c r="C28" s="6" t="inlineStr">
        <is>
          <t>CRAFTSMAN</t>
        </is>
      </c>
      <c r="D28" s="6" t="inlineStr">
        <is>
          <t>5★</t>
        </is>
      </c>
      <c r="E28" s="6" t="inlineStr">
        <is>
          <t>121026</t>
        </is>
      </c>
      <c r="F28" s="8" t="n">
        <v>46307</v>
      </c>
      <c r="G28" s="8" t="n">
        <v>46308</v>
      </c>
      <c r="H28" s="9" t="n">
        <v>10592.76</v>
      </c>
      <c r="I28" s="6">
        <f>IF(H28="","",ROUNDDOWN($B$1/H28,0))</f>
        <v>9</v>
      </c>
      <c r="J28" s="9">
        <f>IF(H28="","",H28*I28)</f>
        <v>95334.84</v>
      </c>
      <c r="K28" s="9" t="n">
        <v>10941</v>
      </c>
      <c r="L28" s="9">
        <f>IF(OR(I28="",K28=""),"",K28*I28)</f>
        <v>98469.0</v>
      </c>
      <c r="M28" s="9">
        <f>IF(L28="","",L28-J28)</f>
        <v>3134.16</v>
      </c>
      <c r="N28" s="10">
        <f>IF(OR(H28="",K28=""),"",K28/H28-1)</f>
        <v>0.03287525869133079</v>
      </c>
      <c r="O28" s="6">
        <f>IF(G28="","",$B$3-G28)</f>
        <v>2</v>
      </c>
      <c r="P28" s="6" t="str">
        <f>IF(H28="","Pending buy",IF(N28&gt;=0,"In profit","In loss"))</f>
        <v>In profit</v>
      </c>
      <c r="Q28" s="6" t="n">
        <v>1</v>
      </c>
    </row>
    <row r="29">
      <c r="A29" s="6" t="n">
        <v>22</v>
      </c>
      <c r="B29" s="7" t="inlineStr">
        <is>
          <t>Happy Forgings Limited</t>
        </is>
      </c>
      <c r="C29" s="6" t="inlineStr">
        <is>
          <t>HAPPYFORGE</t>
        </is>
      </c>
      <c r="D29" s="6" t="inlineStr">
        <is>
          <t>5★</t>
        </is>
      </c>
      <c r="E29" s="6" t="inlineStr">
        <is>
          <t>121026</t>
        </is>
      </c>
      <c r="F29" s="8" t="n">
        <v>46307</v>
      </c>
      <c r="G29" s="8" t="n">
        <v>46308</v>
      </c>
      <c r="H29" s="9" t="n">
        <v>1933.31</v>
      </c>
      <c r="I29" s="6">
        <f>IF(H29="","",ROUNDDOWN($B$1/H29,0))</f>
        <v>51</v>
      </c>
      <c r="J29" s="9">
        <f>IF(H29="","",H29*I29)</f>
        <v>98598.59</v>
      </c>
      <c r="K29" s="9" t="n">
        <v>1873.2</v>
      </c>
      <c r="L29" s="9">
        <f>IF(OR(I29="",K29=""),"",K29*I29)</f>
        <v>95533.2</v>
      </c>
      <c r="M29" s="9">
        <f>IF(L29="","",L29-J29)</f>
        <v>-3065.39</v>
      </c>
      <c r="N29" s="10">
        <f>IF(OR(H29="",K29=""),"",K29/H29-1)</f>
        <v>-0.031089555937682922</v>
      </c>
      <c r="O29" s="6">
        <f>IF(G29="","",$B$3-G29)</f>
        <v>2</v>
      </c>
      <c r="P29" s="6" t="str">
        <f>IF(H29="","Pending buy",IF(N29&gt;=0,"In profit","In loss"))</f>
        <v>In loss</v>
      </c>
      <c r="Q29" s="6" t="n">
        <v>1</v>
      </c>
    </row>
    <row r="30">
      <c r="A30" s="6" t="n">
        <v>23</v>
      </c>
      <c r="B30" s="7" t="inlineStr">
        <is>
          <t>Viji Finance Limited</t>
        </is>
      </c>
      <c r="C30" s="6" t="inlineStr">
        <is>
          <t>VIJIFIN</t>
        </is>
      </c>
      <c r="D30" s="6" t="inlineStr">
        <is>
          <t>5★</t>
        </is>
      </c>
      <c r="E30" s="6" t="inlineStr">
        <is>
          <t>121026</t>
        </is>
      </c>
      <c r="F30" s="8" t="n">
        <v>46307</v>
      </c>
      <c r="G30" s="8" t="n">
        <v>46308</v>
      </c>
      <c r="H30" s="9" t="n">
        <v>14.83</v>
      </c>
      <c r="I30" s="6">
        <f>IF(H30="","",ROUNDDOWN($B$1/H30,0))</f>
        <v>6743</v>
      </c>
      <c r="J30" s="9">
        <f>IF(H30="","",H30*I30)</f>
        <v>99998.69</v>
      </c>
      <c r="K30" s="9" t="n">
        <v>16.34</v>
      </c>
      <c r="L30" s="9">
        <f>IF(OR(I30="",K30=""),"",K30*I30)</f>
        <v>110180.62</v>
      </c>
      <c r="M30" s="9">
        <f>IF(L30="","",L30-J30)</f>
        <v>10181.93</v>
      </c>
      <c r="N30" s="10">
        <f>IF(OR(H30="",K30=""),"",K30/H30-1)</f>
        <v>0.10182063385030338</v>
      </c>
      <c r="O30" s="6">
        <f>IF(G30="","",$B$3-G30)</f>
        <v>2</v>
      </c>
      <c r="P30" s="6" t="str">
        <f>IF(H30="","Pending buy",IF(N30&gt;=0,"In profit","In loss"))</f>
        <v>In profit</v>
      </c>
      <c r="Q30" s="6" t="n">
        <v>1</v>
      </c>
    </row>
    <row r="31">
      <c r="A31" s="6" t="n">
        <v>24</v>
      </c>
      <c r="B31" s="7" t="inlineStr">
        <is>
          <t>Gujarat Ambuja Exports Limited</t>
        </is>
      </c>
      <c r="C31" s="6" t="inlineStr">
        <is>
          <t>GAEL</t>
        </is>
      </c>
      <c r="D31" s="6" t="inlineStr">
        <is>
          <t>4★</t>
        </is>
      </c>
      <c r="E31" s="6" t="inlineStr">
        <is>
          <t>131026</t>
        </is>
      </c>
      <c r="F31" s="8" t="n">
        <v>46308</v>
      </c>
      <c r="G31" s="8" t="n">
        <v>46309</v>
      </c>
      <c r="H31" s="9" t="n">
        <v>177.26</v>
      </c>
      <c r="I31" s="6">
        <f>IF(H31="","",ROUNDDOWN($B$1/H31,0))</f>
        <v>564</v>
      </c>
      <c r="J31" s="9">
        <f>IF(H31="","",H31*I31)</f>
        <v>99977.34</v>
      </c>
      <c r="K31" s="9" t="n">
        <v>173.7</v>
      </c>
      <c r="L31" s="9">
        <f>IF(OR(I31="",K31=""),"",K31*I31)</f>
        <v>97966.8</v>
      </c>
      <c r="M31" s="9">
        <f>IF(L31="","",L31-J31)</f>
        <v>-2010.54</v>
      </c>
      <c r="N31" s="10">
        <f>IF(OR(H31="",K31=""),"",K31/H31-1)</f>
        <v>-0.020109939038991498</v>
      </c>
      <c r="O31" s="6">
        <f>IF(G31="","",$B$3-G31)</f>
        <v>1</v>
      </c>
      <c r="P31" s="6" t="str">
        <f>IF(H31="","Pending buy",IF(N31&gt;=0,"In profit","In loss"))</f>
        <v>In loss</v>
      </c>
      <c r="Q31" s="6" t="n">
        <v>1</v>
      </c>
    </row>
    <row r="32">
      <c r="A32" s="6" t="n">
        <v>25</v>
      </c>
      <c r="B32" s="7" t="inlineStr">
        <is>
          <t>Kanoria Chemicals &amp; Industries Limited</t>
        </is>
      </c>
      <c r="C32" s="6" t="inlineStr">
        <is>
          <t>KANORICHEM</t>
        </is>
      </c>
      <c r="D32" s="6" t="inlineStr">
        <is>
          <t>5★</t>
        </is>
      </c>
      <c r="E32" s="6" t="inlineStr">
        <is>
          <t>131026</t>
        </is>
      </c>
      <c r="F32" s="8" t="n">
        <v>46308</v>
      </c>
      <c r="G32" s="8" t="n">
        <v>46309</v>
      </c>
      <c r="H32" s="9" t="n">
        <v>176.86</v>
      </c>
      <c r="I32" s="6">
        <f>IF(H32="","",ROUNDDOWN($B$1/H32,0))</f>
        <v>565</v>
      </c>
      <c r="J32" s="9">
        <f>IF(H32="","",H32*I32)</f>
        <v>99923.82</v>
      </c>
      <c r="K32" s="9" t="n">
        <v>190.04</v>
      </c>
      <c r="L32" s="9">
        <f>IF(OR(I32="",K32=""),"",K32*I32)</f>
        <v>107372.6</v>
      </c>
      <c r="M32" s="9">
        <f>IF(L32="","",L32-J32)</f>
        <v>7448.78</v>
      </c>
      <c r="N32" s="10">
        <f>IF(OR(H32="",K32=""),"",K32/H32-1)</f>
        <v>0.07454459161589022</v>
      </c>
      <c r="O32" s="6">
        <f>IF(G32="","",$B$3-G32)</f>
        <v>1</v>
      </c>
      <c r="P32" s="6" t="str">
        <f>IF(H32="","Pending buy",IF(N32&gt;=0,"In profit","In loss"))</f>
        <v>In profit</v>
      </c>
      <c r="Q32" s="6" t="n">
        <v>1</v>
      </c>
    </row>
    <row r="33">
      <c r="A33" s="6" t="n">
        <v>26</v>
      </c>
      <c r="B33" s="7" t="inlineStr">
        <is>
          <t>Kapston Services Limited</t>
        </is>
      </c>
      <c r="C33" s="6" t="inlineStr">
        <is>
          <t>KAPSTON</t>
        </is>
      </c>
      <c r="D33" s="6" t="inlineStr">
        <is>
          <t>5★</t>
        </is>
      </c>
      <c r="E33" s="6" t="inlineStr">
        <is>
          <t>131026</t>
        </is>
      </c>
      <c r="F33" s="8" t="n">
        <v>46308</v>
      </c>
      <c r="G33" s="8" t="n">
        <v>46309</v>
      </c>
      <c r="H33" s="9" t="n">
        <v>527.03</v>
      </c>
      <c r="I33" s="6">
        <f>IF(H33="","",ROUNDDOWN($B$1/H33,0))</f>
        <v>189</v>
      </c>
      <c r="J33" s="9">
        <f>IF(H33="","",H33*I33)</f>
        <v>99608.58</v>
      </c>
      <c r="K33" s="9" t="n">
        <v>529.6</v>
      </c>
      <c r="L33" s="9">
        <f>IF(OR(I33="",K33=""),"",K33*I33)</f>
        <v>100094.4</v>
      </c>
      <c r="M33" s="9">
        <f>IF(L33="","",L33-J33)</f>
        <v>485.82</v>
      </c>
      <c r="N33" s="10">
        <f>IF(OR(H33="",K33=""),"",K33/H33-1)</f>
        <v>0.004877339901760092</v>
      </c>
      <c r="O33" s="6">
        <f>IF(G33="","",$B$3-G33)</f>
        <v>1</v>
      </c>
      <c r="P33" s="6" t="str">
        <f>IF(H33="","Pending buy",IF(N33&gt;=0,"In profit","In loss"))</f>
        <v>In profit</v>
      </c>
      <c r="Q33" s="6" t="n">
        <v>1</v>
      </c>
    </row>
    <row r="34">
      <c r="A34" s="6" t="n">
        <v>27</v>
      </c>
      <c r="B34" s="7" t="inlineStr">
        <is>
          <t>Netweb Technologies India Limited</t>
        </is>
      </c>
      <c r="C34" s="6" t="inlineStr">
        <is>
          <t>NETWEB</t>
        </is>
      </c>
      <c r="D34" s="6" t="inlineStr">
        <is>
          <t>4★</t>
        </is>
      </c>
      <c r="E34" s="6" t="inlineStr">
        <is>
          <t>131026</t>
        </is>
      </c>
      <c r="F34" s="8" t="n">
        <v>46308</v>
      </c>
      <c r="G34" s="8" t="n">
        <v>46309</v>
      </c>
      <c r="H34" s="9" t="n">
        <v>5054.23</v>
      </c>
      <c r="I34" s="6">
        <f>IF(H34="","",ROUNDDOWN($B$1/H34,0))</f>
        <v>19</v>
      </c>
      <c r="J34" s="9">
        <f>IF(H34="","",H34*I34)</f>
        <v>96030.46</v>
      </c>
      <c r="K34" s="9" t="n">
        <v>4712.1</v>
      </c>
      <c r="L34" s="9">
        <f>IF(OR(I34="",K34=""),"",K34*I34)</f>
        <v>89529.9</v>
      </c>
      <c r="M34" s="9">
        <f>IF(L34="","",L34-J34)</f>
        <v>-6500.56</v>
      </c>
      <c r="N34" s="10">
        <f>IF(OR(H34="",K34=""),"",K34/H34-1)</f>
        <v>-0.06769269537939093</v>
      </c>
      <c r="O34" s="6">
        <f>IF(G34="","",$B$3-G34)</f>
        <v>1</v>
      </c>
      <c r="P34" s="6" t="str">
        <f>IF(H34="","Pending buy",IF(N34&gt;=0,"In profit","In loss"))</f>
        <v>In loss</v>
      </c>
      <c r="Q34" s="6" t="n">
        <v>1</v>
      </c>
    </row>
    <row r="35">
      <c r="A35" s="6" t="n">
        <v>28</v>
      </c>
      <c r="B35" s="7" t="inlineStr">
        <is>
          <t>CCL Products (India) Limited</t>
        </is>
      </c>
      <c r="C35" s="6" t="inlineStr">
        <is>
          <t>CCL</t>
        </is>
      </c>
      <c r="D35" s="6" t="inlineStr">
        <is>
          <t>4★</t>
        </is>
      </c>
      <c r="E35" s="6" t="inlineStr">
        <is>
          <t>141026</t>
        </is>
      </c>
      <c r="F35" s="8" t="n">
        <v>46309</v>
      </c>
      <c r="G35" s="8" t="n">
        <v>46310</v>
      </c>
      <c r="H35" s="9" t="n">
        <v>1088.82</v>
      </c>
      <c r="I35" s="6">
        <f>IF(H35="","",ROUNDDOWN($B$1/H35,0))</f>
        <v>91</v>
      </c>
      <c r="J35" s="9">
        <f>IF(H35="","",H35*I35)</f>
        <v>99082.89</v>
      </c>
      <c r="K35" s="9" t="n">
        <v>1085.4</v>
      </c>
      <c r="L35" s="9">
        <f>IF(OR(I35="",K35=""),"",K35*I35)</f>
        <v>98771.4</v>
      </c>
      <c r="M35" s="9">
        <f>IF(L35="","",L35-J35)</f>
        <v>-311.49</v>
      </c>
      <c r="N35" s="10">
        <f>IF(OR(H35="",K35=""),"",K35/H35-1)</f>
        <v>-0.003143761658230937</v>
      </c>
      <c r="O35" s="6">
        <f>IF(G35="","",$B$3-G35)</f>
        <v>0</v>
      </c>
      <c r="P35" s="6" t="str">
        <f>IF(H35="","Pending buy",IF(N35&gt;=0,"In profit","In loss"))</f>
        <v>In loss</v>
      </c>
      <c r="Q35" s="6" t="n">
        <v>1</v>
      </c>
    </row>
    <row r="36">
      <c r="A36" s="6" t="n">
        <v>29</v>
      </c>
      <c r="B36" s="7" t="inlineStr">
        <is>
          <t>Jayaswal Neco Industries Limited</t>
        </is>
      </c>
      <c r="C36" s="6" t="inlineStr">
        <is>
          <t>JAYNECOIND</t>
        </is>
      </c>
      <c r="D36" s="6" t="inlineStr">
        <is>
          <t>4★</t>
        </is>
      </c>
      <c r="E36" s="6" t="inlineStr">
        <is>
          <t>141026</t>
        </is>
      </c>
      <c r="F36" s="8" t="n">
        <v>46309</v>
      </c>
      <c r="G36" s="8" t="n">
        <v>46310</v>
      </c>
      <c r="H36" s="9" t="n">
        <v>97.47</v>
      </c>
      <c r="I36" s="6">
        <f>IF(H36="","",ROUNDDOWN($B$1/H36,0))</f>
        <v>1025</v>
      </c>
      <c r="J36" s="9">
        <f>IF(H36="","",H36*I36)</f>
        <v>99910.57</v>
      </c>
      <c r="K36" s="9" t="n">
        <v>96.34999999999999</v>
      </c>
      <c r="L36" s="9">
        <f>IF(OR(I36="",K36=""),"",K36*I36)</f>
        <v>98758.75</v>
      </c>
      <c r="M36" s="9">
        <f>IF(L36="","",L36-J36)</f>
        <v>-1151.82</v>
      </c>
      <c r="N36" s="10">
        <f>IF(OR(H36="",K36=""),"",K36/H36-1)</f>
        <v>-0.011528521818720217</v>
      </c>
      <c r="O36" s="6">
        <f>IF(G36="","",$B$3-G36)</f>
        <v>0</v>
      </c>
      <c r="P36" s="6" t="str">
        <f>IF(H36="","Pending buy",IF(N36&gt;=0,"In profit","In loss"))</f>
        <v>In loss</v>
      </c>
      <c r="Q36" s="6" t="n">
        <v>1</v>
      </c>
    </row>
    <row r="37">
      <c r="A37" s="6" t="n">
        <v>30</v>
      </c>
      <c r="B37" s="7" t="inlineStr">
        <is>
          <t>Sakar Healthcare Limited</t>
        </is>
      </c>
      <c r="C37" s="6" t="inlineStr">
        <is>
          <t>SAKAR</t>
        </is>
      </c>
      <c r="D37" s="6" t="inlineStr">
        <is>
          <t>5★</t>
        </is>
      </c>
      <c r="E37" s="6" t="inlineStr">
        <is>
          <t>141026</t>
        </is>
      </c>
      <c r="F37" s="8" t="n">
        <v>46309</v>
      </c>
      <c r="G37" s="8" t="n">
        <v>46310</v>
      </c>
      <c r="H37" s="9" t="n">
        <v>994.37</v>
      </c>
      <c r="I37" s="6">
        <f>IF(H37="","",ROUNDDOWN($B$1/H37,0))</f>
        <v>100</v>
      </c>
      <c r="J37" s="9">
        <f>IF(H37="","",H37*I37)</f>
        <v>99436.51</v>
      </c>
      <c r="K37" s="9" t="n">
        <v>989.5</v>
      </c>
      <c r="L37" s="9">
        <f>IF(OR(I37="",K37=""),"",K37*I37)</f>
        <v>98950.0</v>
      </c>
      <c r="M37" s="9">
        <f>IF(L37="","",L37-J37)</f>
        <v>-486.51</v>
      </c>
      <c r="N37" s="10">
        <f>IF(OR(H37="",K37=""),"",K37/H37-1)</f>
        <v>-0.004892698726163824</v>
      </c>
      <c r="O37" s="6">
        <f>IF(G37="","",$B$3-G37)</f>
        <v>0</v>
      </c>
      <c r="P37" s="6" t="str">
        <f>IF(H37="","Pending buy",IF(N37&gt;=0,"In profit","In loss"))</f>
        <v>In loss</v>
      </c>
      <c r="Q37" s="6" t="n">
        <v>1</v>
      </c>
    </row>
    <row r="38">
      <c r="A38" s="6" t="n">
        <v>31</v>
      </c>
      <c r="B38" s="7" t="inlineStr">
        <is>
          <t>Tamilnadu PetroProducts Limited</t>
        </is>
      </c>
      <c r="C38" s="6" t="inlineStr">
        <is>
          <t>TNPETRO</t>
        </is>
      </c>
      <c r="D38" s="6" t="inlineStr">
        <is>
          <t>5★</t>
        </is>
      </c>
      <c r="E38" s="6" t="inlineStr">
        <is>
          <t>141026</t>
        </is>
      </c>
      <c r="F38" s="8" t="n">
        <v>46309</v>
      </c>
      <c r="G38" s="8" t="n">
        <v>46310</v>
      </c>
      <c r="H38" s="9" t="n">
        <v>122.04</v>
      </c>
      <c r="I38" s="6">
        <f>IF(H38="","",ROUNDDOWN($B$1/H38,0))</f>
        <v>819</v>
      </c>
      <c r="J38" s="9">
        <f>IF(H38="","",H38*I38)</f>
        <v>99951.48</v>
      </c>
      <c r="K38" s="9" t="n">
        <v>119.36</v>
      </c>
      <c r="L38" s="9">
        <f>IF(OR(I38="",K38=""),"",K38*I38)</f>
        <v>97755.84</v>
      </c>
      <c r="M38" s="9">
        <f>IF(L38="","",L38-J38)</f>
        <v>-2195.64</v>
      </c>
      <c r="N38" s="10">
        <f>IF(OR(H38="",K38=""),"",K38/H38-1)</f>
        <v>-0.021967057448021188</v>
      </c>
      <c r="O38" s="6">
        <f>IF(G38="","",$B$3-G38)</f>
        <v>0</v>
      </c>
      <c r="P38" s="6" t="str">
        <f>IF(H38="","Pending buy",IF(N38&gt;=0,"In profit","In loss"))</f>
        <v>In loss</v>
      </c>
      <c r="Q38" s="6" t="n">
        <v>1</v>
      </c>
    </row>
  </sheetData>
  <conditionalFormatting sqref="A8:Q38">
    <cfRule type="expression" priority="1" dxfId="0">
      <formula>$N8&gt;0</formula>
    </cfRule>
    <cfRule type="expression" priority="2" dxfId="1">
      <formula>$N8&lt;0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4" customWidth="1" min="4" max="4"/>
  </cols>
  <sheetData>
    <row r="1">
      <c r="A1" s="5" t="inlineStr">
        <is>
          <t>Date</t>
        </is>
      </c>
      <c r="B1" s="5" t="inlineStr">
        <is>
          <t>Rating</t>
        </is>
      </c>
      <c r="C1" s="5" t="inlineStr">
        <is>
          <t>Symbol</t>
        </is>
      </c>
      <c r="D1" s="5" t="inlineStr">
        <is>
          <t>Company</t>
        </is>
      </c>
    </row>
    <row r="2">
      <c r="A2" s="8" t="n">
        <v>46296</v>
      </c>
      <c r="B2" s="6" t="inlineStr">
        <is>
          <t>4★</t>
        </is>
      </c>
      <c r="C2" s="6" t="inlineStr">
        <is>
          <t>PRIMESECU</t>
        </is>
      </c>
      <c r="D2" s="11" t="inlineStr">
        <is>
          <t>Prime Securities Limited</t>
        </is>
      </c>
    </row>
    <row r="3">
      <c r="A3" s="8" t="n">
        <v>46297</v>
      </c>
      <c r="B3" s="6" t="inlineStr">
        <is>
          <t>4★</t>
        </is>
      </c>
      <c r="C3" s="6" t="inlineStr">
        <is>
          <t>PRIMESECU</t>
        </is>
      </c>
      <c r="D3" s="11" t="inlineStr">
        <is>
          <t>Prime Securities Limited</t>
        </is>
      </c>
    </row>
    <row r="4">
      <c r="A4" s="8" t="n">
        <v>46300</v>
      </c>
      <c r="B4" s="6" t="inlineStr">
        <is>
          <t>4★</t>
        </is>
      </c>
      <c r="C4" s="6" t="inlineStr">
        <is>
          <t>HALEOSLABS</t>
        </is>
      </c>
      <c r="D4" s="11" t="inlineStr">
        <is>
          <t>HALEOS LABS LIMITED</t>
        </is>
      </c>
    </row>
    <row r="5">
      <c r="A5" s="8" t="n">
        <v>46300</v>
      </c>
      <c r="B5" s="6" t="inlineStr">
        <is>
          <t>4★</t>
        </is>
      </c>
      <c r="C5" s="6" t="inlineStr">
        <is>
          <t>LLOYDSENT</t>
        </is>
      </c>
      <c r="D5" s="11" t="inlineStr">
        <is>
          <t>Lloyds Enterprises Limited</t>
        </is>
      </c>
    </row>
    <row r="6">
      <c r="A6" s="8" t="n">
        <v>46300</v>
      </c>
      <c r="B6" s="6" t="inlineStr">
        <is>
          <t>4★</t>
        </is>
      </c>
      <c r="C6" s="6" t="inlineStr">
        <is>
          <t>NUVAMA</t>
        </is>
      </c>
      <c r="D6" s="11" t="inlineStr">
        <is>
          <t>Nuvama Wealth Management Limited</t>
        </is>
      </c>
    </row>
    <row r="7">
      <c r="A7" s="8" t="n">
        <v>46300</v>
      </c>
      <c r="B7" s="6" t="inlineStr">
        <is>
          <t>5★</t>
        </is>
      </c>
      <c r="C7" s="6" t="inlineStr">
        <is>
          <t>ETERNAL</t>
        </is>
      </c>
      <c r="D7" s="11" t="inlineStr">
        <is>
          <t>ETERNAL LIMITED</t>
        </is>
      </c>
    </row>
    <row r="8">
      <c r="A8" s="8" t="n">
        <v>46300</v>
      </c>
      <c r="B8" s="6" t="inlineStr">
        <is>
          <t>5★</t>
        </is>
      </c>
      <c r="C8" s="6" t="inlineStr">
        <is>
          <t>NEULANDLAB</t>
        </is>
      </c>
      <c r="D8" s="11" t="inlineStr">
        <is>
          <t>Neuland Laboratories Limited</t>
        </is>
      </c>
    </row>
    <row r="9">
      <c r="A9" s="8" t="n">
        <v>46300</v>
      </c>
      <c r="B9" s="6" t="inlineStr">
        <is>
          <t>5★</t>
        </is>
      </c>
      <c r="C9" s="6" t="inlineStr">
        <is>
          <t>RADICO</t>
        </is>
      </c>
      <c r="D9" s="11" t="inlineStr">
        <is>
          <t>Radico Khaitan Limited</t>
        </is>
      </c>
    </row>
    <row r="10">
      <c r="A10" s="8" t="n">
        <v>46301</v>
      </c>
      <c r="B10" s="6" t="inlineStr">
        <is>
          <t>4★</t>
        </is>
      </c>
      <c r="C10" s="6" t="inlineStr">
        <is>
          <t>BBOX</t>
        </is>
      </c>
      <c r="D10" s="11" t="inlineStr">
        <is>
          <t>Black Box Limited</t>
        </is>
      </c>
    </row>
    <row r="11">
      <c r="A11" s="8" t="n">
        <v>46301</v>
      </c>
      <c r="B11" s="6" t="inlineStr">
        <is>
          <t>4★</t>
        </is>
      </c>
      <c r="C11" s="6" t="inlineStr">
        <is>
          <t>GVPIL</t>
        </is>
      </c>
      <c r="D11" s="11" t="inlineStr">
        <is>
          <t>GE Power India Limited</t>
        </is>
      </c>
    </row>
    <row r="12">
      <c r="A12" s="8" t="n">
        <v>46301</v>
      </c>
      <c r="B12" s="6" t="inlineStr">
        <is>
          <t>4★</t>
        </is>
      </c>
      <c r="C12" s="6" t="inlineStr">
        <is>
          <t>JAMNAAUTO</t>
        </is>
      </c>
      <c r="D12" s="11" t="inlineStr">
        <is>
          <t>Jamna Auto Industries Limited</t>
        </is>
      </c>
    </row>
    <row r="13">
      <c r="A13" s="8" t="n">
        <v>46301</v>
      </c>
      <c r="B13" s="6" t="inlineStr">
        <is>
          <t>4★</t>
        </is>
      </c>
      <c r="C13" s="6" t="inlineStr">
        <is>
          <t>OMAXAUTO</t>
        </is>
      </c>
      <c r="D13" s="11" t="inlineStr">
        <is>
          <t>Omax Autos Limited</t>
        </is>
      </c>
    </row>
    <row r="14">
      <c r="A14" s="8" t="n">
        <v>46301</v>
      </c>
      <c r="B14" s="6" t="inlineStr">
        <is>
          <t>5★</t>
        </is>
      </c>
      <c r="C14" s="6" t="inlineStr">
        <is>
          <t>ADOR</t>
        </is>
      </c>
      <c r="D14" s="11" t="inlineStr">
        <is>
          <t>Ador Welding Limited</t>
        </is>
      </c>
    </row>
    <row r="15">
      <c r="A15" s="8" t="n">
        <v>46301</v>
      </c>
      <c r="B15" s="6" t="inlineStr">
        <is>
          <t>5★</t>
        </is>
      </c>
      <c r="C15" s="6" t="inlineStr">
        <is>
          <t>ATHERENERG</t>
        </is>
      </c>
      <c r="D15" s="11" t="inlineStr">
        <is>
          <t>Ather Energy Limited</t>
        </is>
      </c>
    </row>
    <row r="16">
      <c r="A16" s="8" t="n">
        <v>46301</v>
      </c>
      <c r="B16" s="6" t="inlineStr">
        <is>
          <t>5★</t>
        </is>
      </c>
      <c r="C16" s="6" t="inlineStr">
        <is>
          <t>SENORES</t>
        </is>
      </c>
      <c r="D16" s="11" t="inlineStr">
        <is>
          <t>Senores Pharmaceuticals Limited</t>
        </is>
      </c>
    </row>
    <row r="17">
      <c r="A17" s="8" t="n">
        <v>46301</v>
      </c>
      <c r="B17" s="6" t="inlineStr">
        <is>
          <t>5★</t>
        </is>
      </c>
      <c r="C17" s="6" t="inlineStr">
        <is>
          <t>UFBL</t>
        </is>
      </c>
      <c r="D17" s="11" t="inlineStr">
        <is>
          <t>United Foodbrands Limited</t>
        </is>
      </c>
    </row>
    <row r="18">
      <c r="A18" s="8" t="n">
        <v>46301</v>
      </c>
      <c r="B18" s="6" t="inlineStr">
        <is>
          <t>5★</t>
        </is>
      </c>
      <c r="C18" s="6" t="inlineStr">
        <is>
          <t>VISHNU</t>
        </is>
      </c>
      <c r="D18" s="11" t="inlineStr">
        <is>
          <t>Vishnu Chemicals Limited</t>
        </is>
      </c>
    </row>
    <row r="19">
      <c r="A19" s="8" t="n">
        <v>46302</v>
      </c>
      <c r="B19" s="6" t="inlineStr">
        <is>
          <t>4★</t>
        </is>
      </c>
      <c r="C19" s="6" t="inlineStr">
        <is>
          <t>MANCREDIT</t>
        </is>
      </c>
      <c r="D19" s="11" t="inlineStr">
        <is>
          <t>Mangal Credit and Fincorp Limited</t>
        </is>
      </c>
    </row>
    <row r="20">
      <c r="A20" s="8" t="n">
        <v>46304</v>
      </c>
      <c r="B20" s="6" t="inlineStr">
        <is>
          <t>4★</t>
        </is>
      </c>
      <c r="C20" s="6" t="inlineStr">
        <is>
          <t>MAYURUNIQ</t>
        </is>
      </c>
      <c r="D20" s="11" t="inlineStr">
        <is>
          <t>Mayur Uniquoters Ltd</t>
        </is>
      </c>
    </row>
    <row r="21">
      <c r="A21" s="8" t="n">
        <v>46304</v>
      </c>
      <c r="B21" s="6" t="inlineStr">
        <is>
          <t>4★</t>
        </is>
      </c>
      <c r="C21" s="6" t="inlineStr">
        <is>
          <t>UEL</t>
        </is>
      </c>
      <c r="D21" s="11" t="inlineStr">
        <is>
          <t>Ujaas Energy Limited</t>
        </is>
      </c>
    </row>
    <row r="22">
      <c r="A22" s="8" t="n">
        <v>46304</v>
      </c>
      <c r="B22" s="6" t="inlineStr">
        <is>
          <t>5★</t>
        </is>
      </c>
      <c r="C22" s="6" t="inlineStr">
        <is>
          <t>ATHERENERG</t>
        </is>
      </c>
      <c r="D22" s="11" t="inlineStr">
        <is>
          <t>Ather Energy Limited</t>
        </is>
      </c>
    </row>
    <row r="23">
      <c r="A23" s="8" t="n">
        <v>46307</v>
      </c>
      <c r="B23" s="6" t="inlineStr">
        <is>
          <t>4★</t>
        </is>
      </c>
      <c r="C23" s="6" t="inlineStr">
        <is>
          <t>JAMNAAUTO</t>
        </is>
      </c>
      <c r="D23" s="11" t="inlineStr">
        <is>
          <t>Jamna Auto Industries Limited</t>
        </is>
      </c>
    </row>
    <row r="24">
      <c r="A24" s="8" t="n">
        <v>46307</v>
      </c>
      <c r="B24" s="6" t="inlineStr">
        <is>
          <t>5★</t>
        </is>
      </c>
      <c r="C24" s="6" t="inlineStr">
        <is>
          <t>ADOR</t>
        </is>
      </c>
      <c r="D24" s="11" t="inlineStr">
        <is>
          <t>Ador Welding Limited</t>
        </is>
      </c>
    </row>
    <row r="25">
      <c r="A25" s="8" t="n">
        <v>46307</v>
      </c>
      <c r="B25" s="6" t="inlineStr">
        <is>
          <t>5★</t>
        </is>
      </c>
      <c r="C25" s="6" t="inlineStr">
        <is>
          <t>COMSYN</t>
        </is>
      </c>
      <c r="D25" s="11" t="inlineStr">
        <is>
          <t>Commercial Syn Bags Limited</t>
        </is>
      </c>
    </row>
    <row r="26">
      <c r="A26" s="8" t="n">
        <v>46307</v>
      </c>
      <c r="B26" s="6" t="inlineStr">
        <is>
          <t>5★</t>
        </is>
      </c>
      <c r="C26" s="6" t="inlineStr">
        <is>
          <t>CRAFTSMAN</t>
        </is>
      </c>
      <c r="D26" s="11" t="inlineStr">
        <is>
          <t>Craftsman Automation Limited</t>
        </is>
      </c>
    </row>
    <row r="27">
      <c r="A27" s="8" t="n">
        <v>46307</v>
      </c>
      <c r="B27" s="6" t="inlineStr">
        <is>
          <t>5★</t>
        </is>
      </c>
      <c r="C27" s="6" t="inlineStr">
        <is>
          <t>HAPPYFORGE</t>
        </is>
      </c>
      <c r="D27" s="11" t="inlineStr">
        <is>
          <t>Happy Forgings Limited</t>
        </is>
      </c>
    </row>
    <row r="28">
      <c r="A28" s="8" t="n">
        <v>46307</v>
      </c>
      <c r="B28" s="6" t="inlineStr">
        <is>
          <t>5★</t>
        </is>
      </c>
      <c r="C28" s="6" t="inlineStr">
        <is>
          <t>VIJIFIN</t>
        </is>
      </c>
      <c r="D28" s="11" t="inlineStr">
        <is>
          <t>Viji Finance Limited</t>
        </is>
      </c>
    </row>
    <row r="29">
      <c r="A29" s="8" t="n">
        <v>46308</v>
      </c>
      <c r="B29" s="6" t="inlineStr">
        <is>
          <t>4★</t>
        </is>
      </c>
      <c r="C29" s="6" t="inlineStr">
        <is>
          <t>GAEL</t>
        </is>
      </c>
      <c r="D29" s="11" t="inlineStr">
        <is>
          <t>Gujarat Ambuja Exports Limited</t>
        </is>
      </c>
    </row>
    <row r="30">
      <c r="A30" s="8" t="n">
        <v>46308</v>
      </c>
      <c r="B30" s="6" t="inlineStr">
        <is>
          <t>4★</t>
        </is>
      </c>
      <c r="C30" s="6" t="inlineStr">
        <is>
          <t>NETWEB</t>
        </is>
      </c>
      <c r="D30" s="11" t="inlineStr">
        <is>
          <t>Netweb Technologies India Limited</t>
        </is>
      </c>
    </row>
    <row r="31">
      <c r="A31" s="8" t="n">
        <v>46308</v>
      </c>
      <c r="B31" s="6" t="inlineStr">
        <is>
          <t>5★</t>
        </is>
      </c>
      <c r="C31" s="6" t="inlineStr">
        <is>
          <t>KANORICHEM</t>
        </is>
      </c>
      <c r="D31" s="11" t="inlineStr">
        <is>
          <t>Kanoria Chemicals &amp; Industries Limited</t>
        </is>
      </c>
    </row>
    <row r="32">
      <c r="A32" s="8" t="n">
        <v>46308</v>
      </c>
      <c r="B32" s="6" t="inlineStr">
        <is>
          <t>5★</t>
        </is>
      </c>
      <c r="C32" s="6" t="inlineStr">
        <is>
          <t>KAPSTON</t>
        </is>
      </c>
      <c r="D32" s="11" t="inlineStr">
        <is>
          <t>Kapston Services Limited</t>
        </is>
      </c>
    </row>
    <row r="33">
      <c r="A33" s="8" t="n">
        <v>46309</v>
      </c>
      <c r="B33" s="6" t="inlineStr">
        <is>
          <t>4★</t>
        </is>
      </c>
      <c r="C33" s="6" t="inlineStr">
        <is>
          <t>CCL</t>
        </is>
      </c>
      <c r="D33" s="11" t="inlineStr">
        <is>
          <t>CCL Products (India) Limited</t>
        </is>
      </c>
    </row>
    <row r="34">
      <c r="A34" s="8" t="n">
        <v>46309</v>
      </c>
      <c r="B34" s="6" t="inlineStr">
        <is>
          <t>4★</t>
        </is>
      </c>
      <c r="C34" s="6" t="inlineStr">
        <is>
          <t>JAYNECOIND</t>
        </is>
      </c>
      <c r="D34" s="11" t="inlineStr">
        <is>
          <t>Jayaswal Neco Industries Limited</t>
        </is>
      </c>
    </row>
    <row r="35">
      <c r="A35" s="8" t="n">
        <v>46309</v>
      </c>
      <c r="B35" s="6" t="inlineStr">
        <is>
          <t>5★</t>
        </is>
      </c>
      <c r="C35" s="6" t="inlineStr">
        <is>
          <t>SAKAR</t>
        </is>
      </c>
      <c r="D35" s="11" t="inlineStr">
        <is>
          <t>Sakar Healthcare Limited</t>
        </is>
      </c>
    </row>
    <row r="36">
      <c r="A36" s="8" t="n">
        <v>46309</v>
      </c>
      <c r="B36" s="6" t="inlineStr">
        <is>
          <t>5★</t>
        </is>
      </c>
      <c r="C36" s="6" t="inlineStr">
        <is>
          <t>TNPETRO</t>
        </is>
      </c>
      <c r="D36" s="11" t="inlineStr">
        <is>
          <t>Tamilnadu PetroProducts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4" customWidth="1" min="4" max="4"/>
    <col width="55" customWidth="1" min="5" max="5"/>
  </cols>
  <sheetData>
    <row r="1">
      <c r="A1" s="5" t="inlineStr">
        <is>
          <t>Name/Symbol As Seen</t>
        </is>
      </c>
      <c r="B1" s="5" t="inlineStr">
        <is>
          <t>Full Name</t>
        </is>
      </c>
      <c r="C1" s="5" t="inlineStr">
        <is>
          <t>Source Screener</t>
        </is>
      </c>
      <c r="D1" s="5" t="inlineStr">
        <is>
          <t>Email Date</t>
        </is>
      </c>
      <c r="E1" s="5" t="inlineStr">
        <is>
          <t>Reason Excluded</t>
        </is>
      </c>
    </row>
    <row r="2">
      <c r="A2" s="12" t="inlineStr">
        <is>
          <t>BHARATBOND-APR30</t>
        </is>
      </c>
      <c r="B2" s="13" t="inlineStr">
        <is>
          <t>BHARATBOND-APR30</t>
        </is>
      </c>
      <c r="C2" s="12" t="inlineStr">
        <is>
          <t>5★</t>
        </is>
      </c>
      <c r="D2" s="14" t="n">
        <v>46300</v>
      </c>
      <c r="E2" s="15" t="inlineStr">
        <is>
          <t>Not in NSE official equity list</t>
        </is>
      </c>
    </row>
    <row r="3">
      <c r="A3" s="12" t="inlineStr">
        <is>
          <t>PHARMABEES</t>
        </is>
      </c>
      <c r="B3" s="13" t="inlineStr">
        <is>
          <t>Nippon India NIFTY Pharma ETF Growth Plan</t>
        </is>
      </c>
      <c r="C3" s="12" t="inlineStr">
        <is>
          <t>5★</t>
        </is>
      </c>
      <c r="D3" s="14" t="n">
        <v>46301</v>
      </c>
      <c r="E3" s="15" t="inlineStr">
        <is>
          <t>Not in NSE official equity list; In NSE official ETF list; Name/symbol contains: ETF, BEES</t>
        </is>
      </c>
    </row>
    <row r="4">
      <c r="A4" s="12" t="inlineStr">
        <is>
          <t>CNXPHARMA</t>
        </is>
      </c>
      <c r="B4" s="13" t="inlineStr">
        <is>
          <t>CNXPHARMA</t>
        </is>
      </c>
      <c r="C4" s="12" t="inlineStr">
        <is>
          <t>5★</t>
        </is>
      </c>
      <c r="D4" s="14" t="n">
        <v>46301</v>
      </c>
      <c r="E4" s="15" t="inlineStr">
        <is>
          <t>Not in NSE official equity list</t>
        </is>
      </c>
    </row>
    <row r="5">
      <c r="A5" s="12" t="inlineStr">
        <is>
          <t>HEALTHADD</t>
        </is>
      </c>
      <c r="B5" s="13" t="inlineStr">
        <is>
          <t>DSP Nifty Healthcare ETF</t>
        </is>
      </c>
      <c r="C5" s="12" t="inlineStr">
        <is>
          <t>5★</t>
        </is>
      </c>
      <c r="D5" s="14" t="n">
        <v>46308</v>
      </c>
      <c r="E5" s="15" t="inlineStr">
        <is>
          <t>Not in NSE official equity list; In NSE official ETF list; Name/symbol contains: 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2026-10-15T13:31:19Z</dcterms:created>
  <dcterms:modified xsi:type="dcterms:W3CDTF">2026-10-15T13:31:19Z</dcterms:modified>
</cp:coreProperties>
</file>