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LUEOC~1\AppData\Local\Temp\claude\C--Users-BlueOcean-Ops-Team\507250cd-54ac-4c6a-941c-eb02119ac53a\scratchpad\"/>
    </mc:Choice>
  </mc:AlternateContent>
  <xr:revisionPtr revIDLastSave="0" documentId="8_{A6962C68-3895-428D-98DB-B1F143F2E6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rtfolio" sheetId="1" r:id="rId1"/>
    <sheet name="Signals Log" sheetId="2" r:id="rId2"/>
    <sheet name="Exclud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1" l="1"/>
  <c r="O26" i="1"/>
  <c r="N26" i="1"/>
  <c r="J26" i="1"/>
  <c r="I26" i="1"/>
  <c r="L26" i="1" s="1"/>
  <c r="M26" i="1" s="1"/>
  <c r="P25" i="1"/>
  <c r="O25" i="1"/>
  <c r="N25" i="1"/>
  <c r="G5" i="1" s="1"/>
  <c r="L25" i="1"/>
  <c r="M25" i="1" s="1"/>
  <c r="J25" i="1"/>
  <c r="I25" i="1"/>
  <c r="O24" i="1"/>
  <c r="N24" i="1"/>
  <c r="P24" i="1" s="1"/>
  <c r="I24" i="1"/>
  <c r="O23" i="1"/>
  <c r="N23" i="1"/>
  <c r="P23" i="1" s="1"/>
  <c r="I23" i="1"/>
  <c r="O22" i="1"/>
  <c r="N22" i="1"/>
  <c r="P22" i="1" s="1"/>
  <c r="I22" i="1"/>
  <c r="O21" i="1"/>
  <c r="N21" i="1"/>
  <c r="P21" i="1" s="1"/>
  <c r="I21" i="1"/>
  <c r="O20" i="1"/>
  <c r="N20" i="1"/>
  <c r="P20" i="1" s="1"/>
  <c r="L20" i="1"/>
  <c r="M20" i="1" s="1"/>
  <c r="J20" i="1"/>
  <c r="I20" i="1"/>
  <c r="O19" i="1"/>
  <c r="N19" i="1"/>
  <c r="P19" i="1" s="1"/>
  <c r="I19" i="1"/>
  <c r="O18" i="1"/>
  <c r="N18" i="1"/>
  <c r="P18" i="1" s="1"/>
  <c r="I18" i="1"/>
  <c r="O17" i="1"/>
  <c r="N17" i="1"/>
  <c r="P17" i="1" s="1"/>
  <c r="I17" i="1"/>
  <c r="O16" i="1"/>
  <c r="N16" i="1"/>
  <c r="P16" i="1" s="1"/>
  <c r="I16" i="1"/>
  <c r="O15" i="1"/>
  <c r="N15" i="1"/>
  <c r="P15" i="1" s="1"/>
  <c r="I15" i="1"/>
  <c r="O14" i="1"/>
  <c r="N14" i="1"/>
  <c r="P14" i="1" s="1"/>
  <c r="I14" i="1"/>
  <c r="O13" i="1"/>
  <c r="N13" i="1"/>
  <c r="P13" i="1" s="1"/>
  <c r="I13" i="1"/>
  <c r="O12" i="1"/>
  <c r="N12" i="1"/>
  <c r="P12" i="1" s="1"/>
  <c r="I12" i="1"/>
  <c r="O11" i="1"/>
  <c r="N11" i="1"/>
  <c r="P11" i="1" s="1"/>
  <c r="I11" i="1"/>
  <c r="O10" i="1"/>
  <c r="N10" i="1"/>
  <c r="P10" i="1" s="1"/>
  <c r="I10" i="1"/>
  <c r="O9" i="1"/>
  <c r="N9" i="1"/>
  <c r="P9" i="1" s="1"/>
  <c r="I9" i="1"/>
  <c r="O8" i="1"/>
  <c r="N8" i="1"/>
  <c r="P8" i="1" s="1"/>
  <c r="I8" i="1"/>
  <c r="G6" i="1"/>
  <c r="E6" i="1"/>
  <c r="E5" i="1"/>
  <c r="G4" i="1"/>
  <c r="L24" i="1" l="1"/>
  <c r="J24" i="1"/>
  <c r="L23" i="1"/>
  <c r="M23" i="1" s="1"/>
  <c r="J23" i="1"/>
  <c r="J22" i="1"/>
  <c r="L22" i="1"/>
  <c r="M22" i="1" s="1"/>
  <c r="J21" i="1"/>
  <c r="L21" i="1"/>
  <c r="M21" i="1" s="1"/>
  <c r="L19" i="1"/>
  <c r="J19" i="1"/>
  <c r="L18" i="1"/>
  <c r="J18" i="1"/>
  <c r="L17" i="1"/>
  <c r="M17" i="1" s="1"/>
  <c r="J17" i="1"/>
  <c r="L16" i="1"/>
  <c r="J16" i="1"/>
  <c r="J15" i="1"/>
  <c r="L15" i="1"/>
  <c r="M15" i="1" s="1"/>
  <c r="L14" i="1"/>
  <c r="M14" i="1" s="1"/>
  <c r="J14" i="1"/>
  <c r="L13" i="1"/>
  <c r="M13" i="1" s="1"/>
  <c r="J13" i="1"/>
  <c r="L12" i="1"/>
  <c r="M12" i="1" s="1"/>
  <c r="J12" i="1"/>
  <c r="L11" i="1"/>
  <c r="M11" i="1" s="1"/>
  <c r="J11" i="1"/>
  <c r="L10" i="1"/>
  <c r="J10" i="1"/>
  <c r="L9" i="1"/>
  <c r="M9" i="1" s="1"/>
  <c r="J9" i="1"/>
  <c r="L8" i="1"/>
  <c r="J8" i="1"/>
  <c r="M8" i="1" l="1"/>
  <c r="G1" i="1"/>
  <c r="M19" i="1"/>
  <c r="M18" i="1"/>
  <c r="M16" i="1"/>
  <c r="M24" i="1"/>
  <c r="M10" i="1"/>
  <c r="E1" i="1"/>
  <c r="G2" i="1" s="1"/>
  <c r="G3" i="1" l="1"/>
  <c r="E3" i="1"/>
  <c r="E4" i="1" s="1"/>
  <c r="E2" i="1"/>
</calcChain>
</file>

<file path=xl/sharedStrings.xml><?xml version="1.0" encoding="utf-8"?>
<sst xmlns="http://schemas.openxmlformats.org/spreadsheetml/2006/main" count="191" uniqueCount="89">
  <si>
    <t>Capital per stock (Rs)</t>
  </si>
  <si>
    <t>Total Invested</t>
  </si>
  <si>
    <t>Current Value</t>
  </si>
  <si>
    <t>Total P&amp;L (Rs)</t>
  </si>
  <si>
    <t>Total P&amp;L %</t>
  </si>
  <si>
    <t>As-of date</t>
  </si>
  <si>
    <t>Winners</t>
  </si>
  <si>
    <t>Losers</t>
  </si>
  <si>
    <t>Win Rate</t>
  </si>
  <si>
    <t>Avg Return / Stock</t>
  </si>
  <si>
    <t>Best Stock</t>
  </si>
  <si>
    <t>Worst Stock</t>
  </si>
  <si>
    <t>Avg Return 4★*</t>
  </si>
  <si>
    <t>Avg Return 5★*</t>
  </si>
  <si>
    <t>Sr No</t>
  </si>
  <si>
    <t>Company</t>
  </si>
  <si>
    <t>Symbol</t>
  </si>
  <si>
    <t>Rating</t>
  </si>
  <si>
    <t>Signal Date(s)</t>
  </si>
  <si>
    <t>First Signal Date</t>
  </si>
  <si>
    <t>Buy Date</t>
  </si>
  <si>
    <t>Buy Price</t>
  </si>
  <si>
    <t>Qty</t>
  </si>
  <si>
    <t>Invested</t>
  </si>
  <si>
    <t>Latest Price</t>
  </si>
  <si>
    <t>P&amp;L Rs</t>
  </si>
  <si>
    <t>P&amp;L %</t>
  </si>
  <si>
    <t>Days Held</t>
  </si>
  <si>
    <t>Status</t>
  </si>
  <si>
    <t>Times Appeared</t>
  </si>
  <si>
    <t>Prime Securities Limited</t>
  </si>
  <si>
    <t>PRIMESECU</t>
  </si>
  <si>
    <t>4★</t>
  </si>
  <si>
    <t>011026</t>
  </si>
  <si>
    <t>Nuvama Wealth Management Limited</t>
  </si>
  <si>
    <t>NUVAMA</t>
  </si>
  <si>
    <t>051026</t>
  </si>
  <si>
    <t>Haleos Labs Limited</t>
  </si>
  <si>
    <t>HALEOSLABS</t>
  </si>
  <si>
    <t>Lloyds Enterprises Limited</t>
  </si>
  <si>
    <t>LLOYDSENT</t>
  </si>
  <si>
    <t>Eternal Limited</t>
  </si>
  <si>
    <t>ETERNAL</t>
  </si>
  <si>
    <t>5★</t>
  </si>
  <si>
    <t>Neuland Laboratories Limited</t>
  </si>
  <si>
    <t>NEULANDLAB</t>
  </si>
  <si>
    <t>Radico Khaitan Limited</t>
  </si>
  <si>
    <t>RADICO</t>
  </si>
  <si>
    <t>Jamna Auto Industries Limited</t>
  </si>
  <si>
    <t>JAMNAAUTO</t>
  </si>
  <si>
    <t>061026</t>
  </si>
  <si>
    <t>GE Power India Limited</t>
  </si>
  <si>
    <t>GVPIL</t>
  </si>
  <si>
    <t>Omax Autos Limited</t>
  </si>
  <si>
    <t>OMAXAUTO</t>
  </si>
  <si>
    <t>Black Box Limited</t>
  </si>
  <si>
    <t>BBOX</t>
  </si>
  <si>
    <t>Vishnu Chemicals Limited</t>
  </si>
  <si>
    <t>VISHNU</t>
  </si>
  <si>
    <t>Senores Pharmaceuticals Limited</t>
  </si>
  <si>
    <t>SENORES</t>
  </si>
  <si>
    <t>United Foodbrands Limited</t>
  </si>
  <si>
    <t>UFBL</t>
  </si>
  <si>
    <t>Ather Energy Limited</t>
  </si>
  <si>
    <t>ATHERENERG</t>
  </si>
  <si>
    <t>Ador Welding Limited</t>
  </si>
  <si>
    <t>ADOR</t>
  </si>
  <si>
    <t>Mangal Credit and Fincorp Limited</t>
  </si>
  <si>
    <t>MANCREDIT</t>
  </si>
  <si>
    <t>071026</t>
  </si>
  <si>
    <t>Ujaas Energy Limited</t>
  </si>
  <si>
    <t>UEL</t>
  </si>
  <si>
    <t>091026</t>
  </si>
  <si>
    <t>Mayur Uniquoters Ltd</t>
  </si>
  <si>
    <t>MAYURUNIQ</t>
  </si>
  <si>
    <t>Date</t>
  </si>
  <si>
    <t>Name/Symbol As Seen</t>
  </si>
  <si>
    <t>Full Name</t>
  </si>
  <si>
    <t>Source Screener</t>
  </si>
  <si>
    <t>Email Date</t>
  </si>
  <si>
    <t>Reason Excluded</t>
  </si>
  <si>
    <t>BHARATBOND-APR30</t>
  </si>
  <si>
    <t>5★ Buys (RSI)</t>
  </si>
  <si>
    <t>Not in NSE official equity list - Bharat Bond ETF (debt ETF), not a company stock</t>
  </si>
  <si>
    <t>PHARMABEES</t>
  </si>
  <si>
    <t>Nippon India ETF Nifty Pharma</t>
  </si>
  <si>
    <t>In NSE official ETF list; symbol also contains 'BEES'</t>
  </si>
  <si>
    <t>CNXPHARMA</t>
  </si>
  <si>
    <t>Not in NSE official equity list - this is an index value (Nifty Pharma), not a tradable 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</si>
</sst>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\-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pane ySplit="7" topLeftCell="A8" activePane="bottomLeft" state="frozen"/>
      <selection pane="bottomLeft"/>
    </sheetView>
  </sheetViews>
  <sheetFormatPr defaultRowHeight="14.4" x14ac:dyDescent="0.3"/>
  <cols>
    <col min="1" max="1" width="6" customWidth="1"/>
    <col min="2" max="2" width="30" customWidth="1"/>
    <col min="3" max="3" width="12" customWidth="1"/>
    <col min="4" max="4" width="8" customWidth="1"/>
    <col min="5" max="6" width="14" customWidth="1"/>
    <col min="7" max="8" width="12" customWidth="1"/>
    <col min="9" max="9" width="8" customWidth="1"/>
    <col min="10" max="10" width="13" customWidth="1"/>
    <col min="11" max="11" width="12" customWidth="1"/>
    <col min="12" max="12" width="13" customWidth="1"/>
    <col min="13" max="13" width="12" customWidth="1"/>
    <col min="14" max="15" width="10" customWidth="1"/>
    <col min="16" max="16" width="13" customWidth="1"/>
    <col min="17" max="17" width="10" customWidth="1"/>
  </cols>
  <sheetData>
    <row r="1" spans="1:17" x14ac:dyDescent="0.3">
      <c r="A1" s="1" t="s">
        <v>0</v>
      </c>
      <c r="B1">
        <v>100000</v>
      </c>
      <c r="D1" s="1" t="s">
        <v>1</v>
      </c>
      <c r="E1" s="2">
        <f>SUM(J8:J26)</f>
        <v>1677007.2699999996</v>
      </c>
      <c r="F1" s="1" t="s">
        <v>2</v>
      </c>
      <c r="G1" s="2">
        <f>SUM(L8:L26)</f>
        <v>1632729.69</v>
      </c>
    </row>
    <row r="2" spans="1:17" x14ac:dyDescent="0.3">
      <c r="D2" s="1" t="s">
        <v>3</v>
      </c>
      <c r="E2" s="2">
        <f>SUM(M8:M26)</f>
        <v>-44277.579999999944</v>
      </c>
      <c r="F2" s="1" t="s">
        <v>4</v>
      </c>
      <c r="G2" s="3">
        <f>IF(E1=0,"",G1/E1-1)</f>
        <v>-2.6402735868878868E-2</v>
      </c>
    </row>
    <row r="3" spans="1:17" x14ac:dyDescent="0.3">
      <c r="A3" s="1" t="s">
        <v>5</v>
      </c>
      <c r="B3" s="4">
        <v>46304</v>
      </c>
      <c r="D3" s="1" t="s">
        <v>6</v>
      </c>
      <c r="E3">
        <f>COUNTIF(M8:M26,"&gt;0")</f>
        <v>3</v>
      </c>
      <c r="F3" s="1" t="s">
        <v>7</v>
      </c>
      <c r="G3">
        <f>COUNTIF(M8:M26,"&lt;0")</f>
        <v>14</v>
      </c>
    </row>
    <row r="4" spans="1:17" x14ac:dyDescent="0.3">
      <c r="D4" s="1" t="s">
        <v>8</v>
      </c>
      <c r="E4" s="3">
        <f>IF((E3+G3)=0,"",E3/(E3+G3))</f>
        <v>0.17647058823529413</v>
      </c>
      <c r="F4" s="1" t="s">
        <v>9</v>
      </c>
      <c r="G4" s="3">
        <f>AVERAGE(N8:N26)</f>
        <v>-2.6421549092154675E-2</v>
      </c>
    </row>
    <row r="5" spans="1:17" x14ac:dyDescent="0.3">
      <c r="D5" s="1" t="s">
        <v>10</v>
      </c>
      <c r="E5" t="str">
        <f>INDEX(B8:B26,MATCH(MAX(N8:N26),N8:N26,0))</f>
        <v>Black Box Limited</v>
      </c>
      <c r="F5" s="1" t="s">
        <v>11</v>
      </c>
      <c r="G5" t="str">
        <f>INDEX(B8:B26,MATCH(MIN(N8:N26),N8:N26,0))</f>
        <v>Lloyds Enterprises Limited</v>
      </c>
    </row>
    <row r="6" spans="1:17" x14ac:dyDescent="0.3">
      <c r="D6" s="1" t="s">
        <v>12</v>
      </c>
      <c r="E6" s="3">
        <f>AVERAGEIF(D8:D26,"4★*",N8:N26)</f>
        <v>-3.1134659003295522E-2</v>
      </c>
      <c r="F6" s="1" t="s">
        <v>13</v>
      </c>
      <c r="G6" s="3">
        <f>AVERAGEIF(D8:D26,"5★*",N8:N26)</f>
        <v>-2.1119300442121222E-2</v>
      </c>
    </row>
    <row r="7" spans="1:17" ht="31.95" customHeight="1" x14ac:dyDescent="0.3">
      <c r="A7" s="5" t="s">
        <v>14</v>
      </c>
      <c r="B7" s="5" t="s">
        <v>15</v>
      </c>
      <c r="C7" s="5" t="s">
        <v>16</v>
      </c>
      <c r="D7" s="5" t="s">
        <v>17</v>
      </c>
      <c r="E7" s="5" t="s">
        <v>18</v>
      </c>
      <c r="F7" s="5" t="s">
        <v>19</v>
      </c>
      <c r="G7" s="5" t="s">
        <v>20</v>
      </c>
      <c r="H7" s="5" t="s">
        <v>21</v>
      </c>
      <c r="I7" s="5" t="s">
        <v>22</v>
      </c>
      <c r="J7" s="5" t="s">
        <v>23</v>
      </c>
      <c r="K7" s="5" t="s">
        <v>24</v>
      </c>
      <c r="L7" s="5" t="s">
        <v>2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</row>
    <row r="8" spans="1:17" x14ac:dyDescent="0.3">
      <c r="A8" s="6">
        <v>1</v>
      </c>
      <c r="B8" s="7" t="s">
        <v>30</v>
      </c>
      <c r="C8" s="6" t="s">
        <v>31</v>
      </c>
      <c r="D8" s="6" t="s">
        <v>32</v>
      </c>
      <c r="E8" s="6" t="s">
        <v>33</v>
      </c>
      <c r="F8" s="8">
        <v>46296</v>
      </c>
      <c r="G8" s="8">
        <v>46300</v>
      </c>
      <c r="H8" s="9">
        <v>300.76</v>
      </c>
      <c r="I8" s="6">
        <f t="shared" ref="I8:I26" si="0">IF(H8="","",ROUNDDOWN($B$1/H8,0))</f>
        <v>332</v>
      </c>
      <c r="J8" s="9">
        <f t="shared" ref="J8:J26" si="1">IF(H8="","",H8*I8)</f>
        <v>99852.319999999992</v>
      </c>
      <c r="K8" s="9">
        <v>299.45</v>
      </c>
      <c r="L8" s="9">
        <f t="shared" ref="L8:L26" si="2">IF(OR(I8="",K8=""),"",K8*I8)</f>
        <v>99417.4</v>
      </c>
      <c r="M8" s="9">
        <f t="shared" ref="M8:M26" si="3">IF(L8="","",L8-J8)</f>
        <v>-434.91999999999825</v>
      </c>
      <c r="N8" s="10">
        <f t="shared" ref="N8:N26" si="4">IF(OR(H8="",K8=""),"",K8/H8-1)</f>
        <v>-4.3556323979252465E-3</v>
      </c>
      <c r="O8" s="6">
        <f t="shared" ref="O8:O26" si="5">IF(G8="","",$B$3-G8)</f>
        <v>4</v>
      </c>
      <c r="P8" s="6" t="str">
        <f t="shared" ref="P8:P26" si="6">IF(H8="","Pending buy",IF(N8&gt;=0,"In profit","In loss"))</f>
        <v>In loss</v>
      </c>
      <c r="Q8" s="6">
        <v>2</v>
      </c>
    </row>
    <row r="9" spans="1:17" x14ac:dyDescent="0.3">
      <c r="A9" s="6">
        <v>2</v>
      </c>
      <c r="B9" s="7" t="s">
        <v>34</v>
      </c>
      <c r="C9" s="6" t="s">
        <v>35</v>
      </c>
      <c r="D9" s="6" t="s">
        <v>32</v>
      </c>
      <c r="E9" s="6" t="s">
        <v>36</v>
      </c>
      <c r="F9" s="8">
        <v>46300</v>
      </c>
      <c r="G9" s="8">
        <v>46301</v>
      </c>
      <c r="H9" s="9">
        <v>1852.41</v>
      </c>
      <c r="I9" s="6">
        <f t="shared" si="0"/>
        <v>53</v>
      </c>
      <c r="J9" s="9">
        <f t="shared" si="1"/>
        <v>98177.73000000001</v>
      </c>
      <c r="K9" s="9">
        <v>1764.4</v>
      </c>
      <c r="L9" s="9">
        <f t="shared" si="2"/>
        <v>93513.200000000012</v>
      </c>
      <c r="M9" s="9">
        <f t="shared" si="3"/>
        <v>-4664.5299999999988</v>
      </c>
      <c r="N9" s="10">
        <f t="shared" si="4"/>
        <v>-4.7511080160439589E-2</v>
      </c>
      <c r="O9" s="6">
        <f t="shared" si="5"/>
        <v>3</v>
      </c>
      <c r="P9" s="6" t="str">
        <f t="shared" si="6"/>
        <v>In loss</v>
      </c>
      <c r="Q9" s="6">
        <v>1</v>
      </c>
    </row>
    <row r="10" spans="1:17" x14ac:dyDescent="0.3">
      <c r="A10" s="6">
        <v>3</v>
      </c>
      <c r="B10" s="7" t="s">
        <v>37</v>
      </c>
      <c r="C10" s="6" t="s">
        <v>38</v>
      </c>
      <c r="D10" s="6" t="s">
        <v>32</v>
      </c>
      <c r="E10" s="6" t="s">
        <v>36</v>
      </c>
      <c r="F10" s="8">
        <v>46300</v>
      </c>
      <c r="G10" s="8">
        <v>46301</v>
      </c>
      <c r="H10" s="9">
        <v>1581.07</v>
      </c>
      <c r="I10" s="6">
        <f t="shared" si="0"/>
        <v>63</v>
      </c>
      <c r="J10" s="9">
        <f t="shared" si="1"/>
        <v>99607.409999999989</v>
      </c>
      <c r="K10" s="9">
        <v>1563.7</v>
      </c>
      <c r="L10" s="9">
        <f t="shared" si="2"/>
        <v>98513.1</v>
      </c>
      <c r="M10" s="9">
        <f t="shared" si="3"/>
        <v>-1094.3099999999831</v>
      </c>
      <c r="N10" s="10">
        <f t="shared" si="4"/>
        <v>-1.098623084366912E-2</v>
      </c>
      <c r="O10" s="6">
        <f t="shared" si="5"/>
        <v>3</v>
      </c>
      <c r="P10" s="6" t="str">
        <f t="shared" si="6"/>
        <v>In loss</v>
      </c>
      <c r="Q10" s="6">
        <v>1</v>
      </c>
    </row>
    <row r="11" spans="1:17" x14ac:dyDescent="0.3">
      <c r="A11" s="6">
        <v>4</v>
      </c>
      <c r="B11" s="7" t="s">
        <v>39</v>
      </c>
      <c r="C11" s="6" t="s">
        <v>40</v>
      </c>
      <c r="D11" s="6" t="s">
        <v>32</v>
      </c>
      <c r="E11" s="6" t="s">
        <v>36</v>
      </c>
      <c r="F11" s="8">
        <v>46300</v>
      </c>
      <c r="G11" s="8">
        <v>46301</v>
      </c>
      <c r="H11" s="9">
        <v>79.88</v>
      </c>
      <c r="I11" s="6">
        <f t="shared" si="0"/>
        <v>1251</v>
      </c>
      <c r="J11" s="9">
        <f t="shared" si="1"/>
        <v>99929.87999999999</v>
      </c>
      <c r="K11" s="9">
        <v>73.73</v>
      </c>
      <c r="L11" s="9">
        <f t="shared" si="2"/>
        <v>92236.23000000001</v>
      </c>
      <c r="M11" s="9">
        <f t="shared" si="3"/>
        <v>-7693.6499999999796</v>
      </c>
      <c r="N11" s="10">
        <f t="shared" si="4"/>
        <v>-7.6990485728592795E-2</v>
      </c>
      <c r="O11" s="6">
        <f t="shared" si="5"/>
        <v>3</v>
      </c>
      <c r="P11" s="6" t="str">
        <f t="shared" si="6"/>
        <v>In loss</v>
      </c>
      <c r="Q11" s="6">
        <v>1</v>
      </c>
    </row>
    <row r="12" spans="1:17" x14ac:dyDescent="0.3">
      <c r="A12" s="6">
        <v>5</v>
      </c>
      <c r="B12" s="7" t="s">
        <v>41</v>
      </c>
      <c r="C12" s="6" t="s">
        <v>42</v>
      </c>
      <c r="D12" s="6" t="s">
        <v>43</v>
      </c>
      <c r="E12" s="6" t="s">
        <v>36</v>
      </c>
      <c r="F12" s="8">
        <v>46300</v>
      </c>
      <c r="G12" s="8">
        <v>46301</v>
      </c>
      <c r="H12" s="9">
        <v>325.77999999999997</v>
      </c>
      <c r="I12" s="6">
        <f t="shared" si="0"/>
        <v>306</v>
      </c>
      <c r="J12" s="9">
        <f t="shared" si="1"/>
        <v>99688.68</v>
      </c>
      <c r="K12" s="9">
        <v>323.45</v>
      </c>
      <c r="L12" s="9">
        <f t="shared" si="2"/>
        <v>98975.7</v>
      </c>
      <c r="M12" s="9">
        <f t="shared" si="3"/>
        <v>-712.97999999999593</v>
      </c>
      <c r="N12" s="10">
        <f t="shared" si="4"/>
        <v>-7.1520658112836921E-3</v>
      </c>
      <c r="O12" s="6">
        <f t="shared" si="5"/>
        <v>3</v>
      </c>
      <c r="P12" s="6" t="str">
        <f t="shared" si="6"/>
        <v>In loss</v>
      </c>
      <c r="Q12" s="6">
        <v>1</v>
      </c>
    </row>
    <row r="13" spans="1:17" x14ac:dyDescent="0.3">
      <c r="A13" s="6">
        <v>6</v>
      </c>
      <c r="B13" s="7" t="s">
        <v>44</v>
      </c>
      <c r="C13" s="6" t="s">
        <v>45</v>
      </c>
      <c r="D13" s="6" t="s">
        <v>43</v>
      </c>
      <c r="E13" s="6" t="s">
        <v>36</v>
      </c>
      <c r="F13" s="8">
        <v>46300</v>
      </c>
      <c r="G13" s="8">
        <v>46301</v>
      </c>
      <c r="H13" s="9">
        <v>21634.28</v>
      </c>
      <c r="I13" s="6">
        <f t="shared" si="0"/>
        <v>4</v>
      </c>
      <c r="J13" s="9">
        <f t="shared" si="1"/>
        <v>86537.12</v>
      </c>
      <c r="K13" s="9">
        <v>20890</v>
      </c>
      <c r="L13" s="9">
        <f t="shared" si="2"/>
        <v>83560</v>
      </c>
      <c r="M13" s="9">
        <f t="shared" si="3"/>
        <v>-2977.1199999999953</v>
      </c>
      <c r="N13" s="10">
        <f t="shared" si="4"/>
        <v>-3.4402808875543811E-2</v>
      </c>
      <c r="O13" s="6">
        <f t="shared" si="5"/>
        <v>3</v>
      </c>
      <c r="P13" s="6" t="str">
        <f t="shared" si="6"/>
        <v>In loss</v>
      </c>
      <c r="Q13" s="6">
        <v>1</v>
      </c>
    </row>
    <row r="14" spans="1:17" x14ac:dyDescent="0.3">
      <c r="A14" s="6">
        <v>7</v>
      </c>
      <c r="B14" s="7" t="s">
        <v>46</v>
      </c>
      <c r="C14" s="6" t="s">
        <v>47</v>
      </c>
      <c r="D14" s="6" t="s">
        <v>43</v>
      </c>
      <c r="E14" s="6" t="s">
        <v>36</v>
      </c>
      <c r="F14" s="8">
        <v>46300</v>
      </c>
      <c r="G14" s="8">
        <v>46301</v>
      </c>
      <c r="H14" s="9">
        <v>4439.43</v>
      </c>
      <c r="I14" s="6">
        <f t="shared" si="0"/>
        <v>22</v>
      </c>
      <c r="J14" s="9">
        <f t="shared" si="1"/>
        <v>97667.46</v>
      </c>
      <c r="K14" s="9">
        <v>4550</v>
      </c>
      <c r="L14" s="9">
        <f t="shared" si="2"/>
        <v>100100</v>
      </c>
      <c r="M14" s="9">
        <f t="shared" si="3"/>
        <v>2432.5399999999936</v>
      </c>
      <c r="N14" s="10">
        <f t="shared" si="4"/>
        <v>2.4906350590053083E-2</v>
      </c>
      <c r="O14" s="6">
        <f t="shared" si="5"/>
        <v>3</v>
      </c>
      <c r="P14" s="6" t="str">
        <f t="shared" si="6"/>
        <v>In profit</v>
      </c>
      <c r="Q14" s="6">
        <v>1</v>
      </c>
    </row>
    <row r="15" spans="1:17" x14ac:dyDescent="0.3">
      <c r="A15" s="6">
        <v>8</v>
      </c>
      <c r="B15" s="7" t="s">
        <v>48</v>
      </c>
      <c r="C15" s="6" t="s">
        <v>49</v>
      </c>
      <c r="D15" s="6" t="s">
        <v>32</v>
      </c>
      <c r="E15" s="6" t="s">
        <v>50</v>
      </c>
      <c r="F15" s="8">
        <v>46301</v>
      </c>
      <c r="G15" s="8">
        <v>46302</v>
      </c>
      <c r="H15" s="9">
        <v>150.82</v>
      </c>
      <c r="I15" s="6">
        <f t="shared" si="0"/>
        <v>663</v>
      </c>
      <c r="J15" s="9">
        <f t="shared" si="1"/>
        <v>99993.659999999989</v>
      </c>
      <c r="K15" s="9">
        <v>142.66999999999999</v>
      </c>
      <c r="L15" s="9">
        <f t="shared" si="2"/>
        <v>94590.209999999992</v>
      </c>
      <c r="M15" s="9">
        <f t="shared" si="3"/>
        <v>-5403.4499999999971</v>
      </c>
      <c r="N15" s="10">
        <f t="shared" si="4"/>
        <v>-5.4037926004508741E-2</v>
      </c>
      <c r="O15" s="6">
        <f t="shared" si="5"/>
        <v>2</v>
      </c>
      <c r="P15" s="6" t="str">
        <f t="shared" si="6"/>
        <v>In loss</v>
      </c>
      <c r="Q15" s="6">
        <v>1</v>
      </c>
    </row>
    <row r="16" spans="1:17" x14ac:dyDescent="0.3">
      <c r="A16" s="6">
        <v>9</v>
      </c>
      <c r="B16" s="7" t="s">
        <v>51</v>
      </c>
      <c r="C16" s="6" t="s">
        <v>52</v>
      </c>
      <c r="D16" s="6" t="s">
        <v>32</v>
      </c>
      <c r="E16" s="6" t="s">
        <v>50</v>
      </c>
      <c r="F16" s="8">
        <v>46301</v>
      </c>
      <c r="G16" s="8">
        <v>46302</v>
      </c>
      <c r="H16" s="9">
        <v>706.36</v>
      </c>
      <c r="I16" s="6">
        <f t="shared" si="0"/>
        <v>141</v>
      </c>
      <c r="J16" s="9">
        <f t="shared" si="1"/>
        <v>99596.76</v>
      </c>
      <c r="K16" s="9">
        <v>656.65</v>
      </c>
      <c r="L16" s="9">
        <f t="shared" si="2"/>
        <v>92587.65</v>
      </c>
      <c r="M16" s="9">
        <f t="shared" si="3"/>
        <v>-7009.1100000000006</v>
      </c>
      <c r="N16" s="10">
        <f t="shared" si="4"/>
        <v>-7.0374879664760193E-2</v>
      </c>
      <c r="O16" s="6">
        <f t="shared" si="5"/>
        <v>2</v>
      </c>
      <c r="P16" s="6" t="str">
        <f t="shared" si="6"/>
        <v>In loss</v>
      </c>
      <c r="Q16" s="6">
        <v>1</v>
      </c>
    </row>
    <row r="17" spans="1:17" x14ac:dyDescent="0.3">
      <c r="A17" s="6">
        <v>10</v>
      </c>
      <c r="B17" s="7" t="s">
        <v>53</v>
      </c>
      <c r="C17" s="6" t="s">
        <v>54</v>
      </c>
      <c r="D17" s="6" t="s">
        <v>32</v>
      </c>
      <c r="E17" s="6" t="s">
        <v>50</v>
      </c>
      <c r="F17" s="8">
        <v>46301</v>
      </c>
      <c r="G17" s="8">
        <v>46302</v>
      </c>
      <c r="H17" s="9">
        <v>209.43</v>
      </c>
      <c r="I17" s="6">
        <f t="shared" si="0"/>
        <v>477</v>
      </c>
      <c r="J17" s="9">
        <f t="shared" si="1"/>
        <v>99898.11</v>
      </c>
      <c r="K17" s="9">
        <v>200.45</v>
      </c>
      <c r="L17" s="9">
        <f t="shared" si="2"/>
        <v>95614.65</v>
      </c>
      <c r="M17" s="9">
        <f t="shared" si="3"/>
        <v>-4283.4600000000064</v>
      </c>
      <c r="N17" s="10">
        <f t="shared" si="4"/>
        <v>-4.2878288688344646E-2</v>
      </c>
      <c r="O17" s="6">
        <f t="shared" si="5"/>
        <v>2</v>
      </c>
      <c r="P17" s="6" t="str">
        <f t="shared" si="6"/>
        <v>In loss</v>
      </c>
      <c r="Q17" s="6">
        <v>1</v>
      </c>
    </row>
    <row r="18" spans="1:17" x14ac:dyDescent="0.3">
      <c r="A18" s="6">
        <v>11</v>
      </c>
      <c r="B18" s="7" t="s">
        <v>55</v>
      </c>
      <c r="C18" s="6" t="s">
        <v>56</v>
      </c>
      <c r="D18" s="6" t="s">
        <v>32</v>
      </c>
      <c r="E18" s="6" t="s">
        <v>50</v>
      </c>
      <c r="F18" s="8">
        <v>46301</v>
      </c>
      <c r="G18" s="8">
        <v>46302</v>
      </c>
      <c r="H18" s="9">
        <v>867.08</v>
      </c>
      <c r="I18" s="6">
        <f t="shared" si="0"/>
        <v>115</v>
      </c>
      <c r="J18" s="9">
        <f t="shared" si="1"/>
        <v>99714.200000000012</v>
      </c>
      <c r="K18" s="9">
        <v>892.1</v>
      </c>
      <c r="L18" s="9">
        <f t="shared" si="2"/>
        <v>102591.5</v>
      </c>
      <c r="M18" s="9">
        <f t="shared" si="3"/>
        <v>2877.2999999999884</v>
      </c>
      <c r="N18" s="10">
        <f t="shared" si="4"/>
        <v>2.8855468930202521E-2</v>
      </c>
      <c r="O18" s="6">
        <f t="shared" si="5"/>
        <v>2</v>
      </c>
      <c r="P18" s="6" t="str">
        <f t="shared" si="6"/>
        <v>In profit</v>
      </c>
      <c r="Q18" s="6">
        <v>1</v>
      </c>
    </row>
    <row r="19" spans="1:17" x14ac:dyDescent="0.3">
      <c r="A19" s="6">
        <v>12</v>
      </c>
      <c r="B19" s="7" t="s">
        <v>57</v>
      </c>
      <c r="C19" s="6" t="s">
        <v>58</v>
      </c>
      <c r="D19" s="6" t="s">
        <v>43</v>
      </c>
      <c r="E19" s="6" t="s">
        <v>50</v>
      </c>
      <c r="F19" s="8">
        <v>46301</v>
      </c>
      <c r="G19" s="8">
        <v>46302</v>
      </c>
      <c r="H19" s="9">
        <v>686.12</v>
      </c>
      <c r="I19" s="6">
        <f t="shared" si="0"/>
        <v>145</v>
      </c>
      <c r="J19" s="9">
        <f t="shared" si="1"/>
        <v>99487.4</v>
      </c>
      <c r="K19" s="9">
        <v>654.85</v>
      </c>
      <c r="L19" s="9">
        <f t="shared" si="2"/>
        <v>94953.25</v>
      </c>
      <c r="M19" s="9">
        <f t="shared" si="3"/>
        <v>-4534.1499999999942</v>
      </c>
      <c r="N19" s="10">
        <f t="shared" si="4"/>
        <v>-4.5575118055150687E-2</v>
      </c>
      <c r="O19" s="6">
        <f t="shared" si="5"/>
        <v>2</v>
      </c>
      <c r="P19" s="6" t="str">
        <f t="shared" si="6"/>
        <v>In loss</v>
      </c>
      <c r="Q19" s="6">
        <v>1</v>
      </c>
    </row>
    <row r="20" spans="1:17" x14ac:dyDescent="0.3">
      <c r="A20" s="6">
        <v>13</v>
      </c>
      <c r="B20" s="7" t="s">
        <v>59</v>
      </c>
      <c r="C20" s="6" t="s">
        <v>60</v>
      </c>
      <c r="D20" s="6" t="s">
        <v>43</v>
      </c>
      <c r="E20" s="6" t="s">
        <v>50</v>
      </c>
      <c r="F20" s="8">
        <v>46301</v>
      </c>
      <c r="G20" s="8">
        <v>46302</v>
      </c>
      <c r="H20" s="9">
        <v>1400.7</v>
      </c>
      <c r="I20" s="6">
        <f t="shared" si="0"/>
        <v>71</v>
      </c>
      <c r="J20" s="9">
        <f t="shared" si="1"/>
        <v>99449.7</v>
      </c>
      <c r="K20" s="9">
        <v>1320</v>
      </c>
      <c r="L20" s="9">
        <f t="shared" si="2"/>
        <v>93720</v>
      </c>
      <c r="M20" s="9">
        <f t="shared" si="3"/>
        <v>-5729.6999999999971</v>
      </c>
      <c r="N20" s="10">
        <f t="shared" si="4"/>
        <v>-5.7614050117798299E-2</v>
      </c>
      <c r="O20" s="6">
        <f t="shared" si="5"/>
        <v>2</v>
      </c>
      <c r="P20" s="6" t="str">
        <f t="shared" si="6"/>
        <v>In loss</v>
      </c>
      <c r="Q20" s="6">
        <v>1</v>
      </c>
    </row>
    <row r="21" spans="1:17" x14ac:dyDescent="0.3">
      <c r="A21" s="6">
        <v>14</v>
      </c>
      <c r="B21" s="7" t="s">
        <v>61</v>
      </c>
      <c r="C21" s="6" t="s">
        <v>62</v>
      </c>
      <c r="D21" s="6" t="s">
        <v>43</v>
      </c>
      <c r="E21" s="6" t="s">
        <v>50</v>
      </c>
      <c r="F21" s="8">
        <v>46301</v>
      </c>
      <c r="G21" s="8">
        <v>46302</v>
      </c>
      <c r="H21" s="9">
        <v>693.31</v>
      </c>
      <c r="I21" s="6">
        <f t="shared" si="0"/>
        <v>144</v>
      </c>
      <c r="J21" s="9">
        <f t="shared" si="1"/>
        <v>99836.639999999985</v>
      </c>
      <c r="K21" s="9">
        <v>697.1</v>
      </c>
      <c r="L21" s="9">
        <f t="shared" si="2"/>
        <v>100382.40000000001</v>
      </c>
      <c r="M21" s="9">
        <f t="shared" si="3"/>
        <v>545.76000000002387</v>
      </c>
      <c r="N21" s="10">
        <f t="shared" si="4"/>
        <v>5.4665301236100916E-3</v>
      </c>
      <c r="O21" s="6">
        <f t="shared" si="5"/>
        <v>2</v>
      </c>
      <c r="P21" s="6" t="str">
        <f t="shared" si="6"/>
        <v>In profit</v>
      </c>
      <c r="Q21" s="6">
        <v>1</v>
      </c>
    </row>
    <row r="22" spans="1:17" x14ac:dyDescent="0.3">
      <c r="A22" s="6">
        <v>15</v>
      </c>
      <c r="B22" s="7" t="s">
        <v>63</v>
      </c>
      <c r="C22" s="6" t="s">
        <v>64</v>
      </c>
      <c r="D22" s="6" t="s">
        <v>43</v>
      </c>
      <c r="E22" s="6" t="s">
        <v>50</v>
      </c>
      <c r="F22" s="8">
        <v>46301</v>
      </c>
      <c r="G22" s="8">
        <v>46302</v>
      </c>
      <c r="H22" s="9">
        <v>1449.38</v>
      </c>
      <c r="I22" s="6">
        <f t="shared" si="0"/>
        <v>68</v>
      </c>
      <c r="J22" s="9">
        <f t="shared" si="1"/>
        <v>98557.840000000011</v>
      </c>
      <c r="K22" s="9">
        <v>1434.4</v>
      </c>
      <c r="L22" s="9">
        <f t="shared" si="2"/>
        <v>97539.200000000012</v>
      </c>
      <c r="M22" s="9">
        <f t="shared" si="3"/>
        <v>-1018.6399999999994</v>
      </c>
      <c r="N22" s="10">
        <f t="shared" si="4"/>
        <v>-1.0335453780237036E-2</v>
      </c>
      <c r="O22" s="6">
        <f t="shared" si="5"/>
        <v>2</v>
      </c>
      <c r="P22" s="6" t="str">
        <f t="shared" si="6"/>
        <v>In loss</v>
      </c>
      <c r="Q22" s="6">
        <v>2</v>
      </c>
    </row>
    <row r="23" spans="1:17" x14ac:dyDescent="0.3">
      <c r="A23" s="6">
        <v>16</v>
      </c>
      <c r="B23" s="7" t="s">
        <v>65</v>
      </c>
      <c r="C23" s="6" t="s">
        <v>66</v>
      </c>
      <c r="D23" s="6" t="s">
        <v>43</v>
      </c>
      <c r="E23" s="6" t="s">
        <v>50</v>
      </c>
      <c r="F23" s="8">
        <v>46301</v>
      </c>
      <c r="G23" s="8">
        <v>46302</v>
      </c>
      <c r="H23" s="9">
        <v>1548.1</v>
      </c>
      <c r="I23" s="6">
        <f t="shared" si="0"/>
        <v>64</v>
      </c>
      <c r="J23" s="9">
        <f t="shared" si="1"/>
        <v>99078.399999999994</v>
      </c>
      <c r="K23" s="9">
        <v>1479.6</v>
      </c>
      <c r="L23" s="9">
        <f t="shared" si="2"/>
        <v>94694.399999999994</v>
      </c>
      <c r="M23" s="9">
        <f t="shared" si="3"/>
        <v>-4384</v>
      </c>
      <c r="N23" s="10">
        <f t="shared" si="4"/>
        <v>-4.4247787610619427E-2</v>
      </c>
      <c r="O23" s="6">
        <f t="shared" si="5"/>
        <v>2</v>
      </c>
      <c r="P23" s="6" t="str">
        <f t="shared" si="6"/>
        <v>In loss</v>
      </c>
      <c r="Q23" s="6">
        <v>1</v>
      </c>
    </row>
    <row r="24" spans="1:17" x14ac:dyDescent="0.3">
      <c r="A24" s="6">
        <v>17</v>
      </c>
      <c r="B24" s="7" t="s">
        <v>67</v>
      </c>
      <c r="C24" s="6" t="s">
        <v>68</v>
      </c>
      <c r="D24" s="6" t="s">
        <v>32</v>
      </c>
      <c r="E24" s="6" t="s">
        <v>69</v>
      </c>
      <c r="F24" s="8">
        <v>46302</v>
      </c>
      <c r="G24" s="8">
        <v>46303</v>
      </c>
      <c r="H24" s="9">
        <v>227.64</v>
      </c>
      <c r="I24" s="6">
        <f t="shared" si="0"/>
        <v>439</v>
      </c>
      <c r="J24" s="9">
        <f t="shared" si="1"/>
        <v>99933.959999999992</v>
      </c>
      <c r="K24" s="9">
        <v>227.2</v>
      </c>
      <c r="L24" s="9">
        <f t="shared" si="2"/>
        <v>99740.799999999988</v>
      </c>
      <c r="M24" s="9">
        <f t="shared" si="3"/>
        <v>-193.16000000000349</v>
      </c>
      <c r="N24" s="10">
        <f t="shared" si="4"/>
        <v>-1.9328764716218805E-3</v>
      </c>
      <c r="O24" s="6">
        <f t="shared" si="5"/>
        <v>1</v>
      </c>
      <c r="P24" s="6" t="str">
        <f t="shared" si="6"/>
        <v>In loss</v>
      </c>
      <c r="Q24" s="6">
        <v>1</v>
      </c>
    </row>
    <row r="25" spans="1:17" x14ac:dyDescent="0.3">
      <c r="A25" s="6">
        <v>18</v>
      </c>
      <c r="B25" s="7" t="s">
        <v>70</v>
      </c>
      <c r="C25" s="6" t="s">
        <v>71</v>
      </c>
      <c r="D25" s="6" t="s">
        <v>32</v>
      </c>
      <c r="E25" s="6" t="s">
        <v>72</v>
      </c>
      <c r="F25" s="8">
        <v>46304</v>
      </c>
      <c r="G25" s="6"/>
      <c r="H25" s="9"/>
      <c r="I25" s="6" t="str">
        <f t="shared" si="0"/>
        <v/>
      </c>
      <c r="J25" s="9" t="str">
        <f t="shared" si="1"/>
        <v/>
      </c>
      <c r="K25" s="9">
        <v>214.94</v>
      </c>
      <c r="L25" s="9" t="str">
        <f t="shared" si="2"/>
        <v/>
      </c>
      <c r="M25" s="9" t="str">
        <f t="shared" si="3"/>
        <v/>
      </c>
      <c r="N25" s="10" t="str">
        <f t="shared" si="4"/>
        <v/>
      </c>
      <c r="O25" s="6" t="str">
        <f t="shared" si="5"/>
        <v/>
      </c>
      <c r="P25" s="6" t="str">
        <f t="shared" si="6"/>
        <v>Pending buy</v>
      </c>
      <c r="Q25" s="6">
        <v>1</v>
      </c>
    </row>
    <row r="26" spans="1:17" x14ac:dyDescent="0.3">
      <c r="A26" s="6">
        <v>19</v>
      </c>
      <c r="B26" s="7" t="s">
        <v>73</v>
      </c>
      <c r="C26" s="6" t="s">
        <v>74</v>
      </c>
      <c r="D26" s="6" t="s">
        <v>32</v>
      </c>
      <c r="E26" s="6" t="s">
        <v>72</v>
      </c>
      <c r="F26" s="8">
        <v>46304</v>
      </c>
      <c r="G26" s="6"/>
      <c r="H26" s="9"/>
      <c r="I26" s="6" t="str">
        <f t="shared" si="0"/>
        <v/>
      </c>
      <c r="J26" s="9" t="str">
        <f t="shared" si="1"/>
        <v/>
      </c>
      <c r="K26" s="9">
        <v>788.4</v>
      </c>
      <c r="L26" s="9" t="str">
        <f t="shared" si="2"/>
        <v/>
      </c>
      <c r="M26" s="9" t="str">
        <f t="shared" si="3"/>
        <v/>
      </c>
      <c r="N26" s="10" t="str">
        <f t="shared" si="4"/>
        <v/>
      </c>
      <c r="O26" s="6" t="str">
        <f t="shared" si="5"/>
        <v/>
      </c>
      <c r="P26" s="6" t="str">
        <f t="shared" si="6"/>
        <v>Pending buy</v>
      </c>
      <c r="Q26" s="6">
        <v>1</v>
      </c>
    </row>
  </sheetData>
  <conditionalFormatting sqref="A8:Q26">
    <cfRule type="expression" dxfId="1" priority="1">
      <formula>$N8&gt;0</formula>
    </cfRule>
    <cfRule type="expression" dxfId="0" priority="2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14" customWidth="1"/>
    <col min="4" max="4" width="34" customWidth="1"/>
  </cols>
  <sheetData>
    <row r="1" spans="1:4" x14ac:dyDescent="0.3">
      <c r="A1" s="5" t="s">
        <v>75</v>
      </c>
      <c r="B1" s="5" t="s">
        <v>17</v>
      </c>
      <c r="C1" s="5" t="s">
        <v>16</v>
      </c>
      <c r="D1" s="5" t="s">
        <v>15</v>
      </c>
    </row>
    <row r="2" spans="1:4" x14ac:dyDescent="0.3">
      <c r="A2" s="8">
        <v>46296</v>
      </c>
      <c r="B2" s="6" t="s">
        <v>32</v>
      </c>
      <c r="C2" s="6" t="s">
        <v>31</v>
      </c>
      <c r="D2" s="11" t="s">
        <v>30</v>
      </c>
    </row>
    <row r="3" spans="1:4" x14ac:dyDescent="0.3">
      <c r="A3" s="8">
        <v>46297</v>
      </c>
      <c r="B3" s="6" t="s">
        <v>32</v>
      </c>
      <c r="C3" s="6" t="s">
        <v>31</v>
      </c>
      <c r="D3" s="11" t="s">
        <v>30</v>
      </c>
    </row>
    <row r="4" spans="1:4" x14ac:dyDescent="0.3">
      <c r="A4" s="8">
        <v>46300</v>
      </c>
      <c r="B4" s="6" t="s">
        <v>32</v>
      </c>
      <c r="C4" s="6" t="s">
        <v>35</v>
      </c>
      <c r="D4" s="11" t="s">
        <v>34</v>
      </c>
    </row>
    <row r="5" spans="1:4" x14ac:dyDescent="0.3">
      <c r="A5" s="8">
        <v>46300</v>
      </c>
      <c r="B5" s="6" t="s">
        <v>32</v>
      </c>
      <c r="C5" s="6" t="s">
        <v>38</v>
      </c>
      <c r="D5" s="11" t="s">
        <v>37</v>
      </c>
    </row>
    <row r="6" spans="1:4" x14ac:dyDescent="0.3">
      <c r="A6" s="8">
        <v>46300</v>
      </c>
      <c r="B6" s="6" t="s">
        <v>32</v>
      </c>
      <c r="C6" s="6" t="s">
        <v>40</v>
      </c>
      <c r="D6" s="11" t="s">
        <v>39</v>
      </c>
    </row>
    <row r="7" spans="1:4" x14ac:dyDescent="0.3">
      <c r="A7" s="8">
        <v>46300</v>
      </c>
      <c r="B7" s="6" t="s">
        <v>43</v>
      </c>
      <c r="C7" s="6" t="s">
        <v>42</v>
      </c>
      <c r="D7" s="11" t="s">
        <v>41</v>
      </c>
    </row>
    <row r="8" spans="1:4" x14ac:dyDescent="0.3">
      <c r="A8" s="8">
        <v>46300</v>
      </c>
      <c r="B8" s="6" t="s">
        <v>43</v>
      </c>
      <c r="C8" s="6" t="s">
        <v>45</v>
      </c>
      <c r="D8" s="11" t="s">
        <v>44</v>
      </c>
    </row>
    <row r="9" spans="1:4" x14ac:dyDescent="0.3">
      <c r="A9" s="8">
        <v>46300</v>
      </c>
      <c r="B9" s="6" t="s">
        <v>43</v>
      </c>
      <c r="C9" s="6" t="s">
        <v>47</v>
      </c>
      <c r="D9" s="11" t="s">
        <v>46</v>
      </c>
    </row>
    <row r="10" spans="1:4" x14ac:dyDescent="0.3">
      <c r="A10" s="8">
        <v>46301</v>
      </c>
      <c r="B10" s="6" t="s">
        <v>32</v>
      </c>
      <c r="C10" s="6" t="s">
        <v>49</v>
      </c>
      <c r="D10" s="11" t="s">
        <v>48</v>
      </c>
    </row>
    <row r="11" spans="1:4" x14ac:dyDescent="0.3">
      <c r="A11" s="8">
        <v>46301</v>
      </c>
      <c r="B11" s="6" t="s">
        <v>32</v>
      </c>
      <c r="C11" s="6" t="s">
        <v>52</v>
      </c>
      <c r="D11" s="11" t="s">
        <v>51</v>
      </c>
    </row>
    <row r="12" spans="1:4" x14ac:dyDescent="0.3">
      <c r="A12" s="8">
        <v>46301</v>
      </c>
      <c r="B12" s="6" t="s">
        <v>32</v>
      </c>
      <c r="C12" s="6" t="s">
        <v>54</v>
      </c>
      <c r="D12" s="11" t="s">
        <v>53</v>
      </c>
    </row>
    <row r="13" spans="1:4" x14ac:dyDescent="0.3">
      <c r="A13" s="8">
        <v>46301</v>
      </c>
      <c r="B13" s="6" t="s">
        <v>32</v>
      </c>
      <c r="C13" s="6" t="s">
        <v>56</v>
      </c>
      <c r="D13" s="11" t="s">
        <v>55</v>
      </c>
    </row>
    <row r="14" spans="1:4" x14ac:dyDescent="0.3">
      <c r="A14" s="8">
        <v>46301</v>
      </c>
      <c r="B14" s="6" t="s">
        <v>43</v>
      </c>
      <c r="C14" s="6" t="s">
        <v>58</v>
      </c>
      <c r="D14" s="11" t="s">
        <v>57</v>
      </c>
    </row>
    <row r="15" spans="1:4" x14ac:dyDescent="0.3">
      <c r="A15" s="8">
        <v>46301</v>
      </c>
      <c r="B15" s="6" t="s">
        <v>43</v>
      </c>
      <c r="C15" s="6" t="s">
        <v>60</v>
      </c>
      <c r="D15" s="11" t="s">
        <v>59</v>
      </c>
    </row>
    <row r="16" spans="1:4" x14ac:dyDescent="0.3">
      <c r="A16" s="8">
        <v>46301</v>
      </c>
      <c r="B16" s="6" t="s">
        <v>43</v>
      </c>
      <c r="C16" s="6" t="s">
        <v>62</v>
      </c>
      <c r="D16" s="11" t="s">
        <v>61</v>
      </c>
    </row>
    <row r="17" spans="1:4" x14ac:dyDescent="0.3">
      <c r="A17" s="8">
        <v>46301</v>
      </c>
      <c r="B17" s="6" t="s">
        <v>43</v>
      </c>
      <c r="C17" s="6" t="s">
        <v>64</v>
      </c>
      <c r="D17" s="11" t="s">
        <v>63</v>
      </c>
    </row>
    <row r="18" spans="1:4" x14ac:dyDescent="0.3">
      <c r="A18" s="8">
        <v>46301</v>
      </c>
      <c r="B18" s="6" t="s">
        <v>43</v>
      </c>
      <c r="C18" s="6" t="s">
        <v>66</v>
      </c>
      <c r="D18" s="11" t="s">
        <v>65</v>
      </c>
    </row>
    <row r="19" spans="1:4" x14ac:dyDescent="0.3">
      <c r="A19" s="8">
        <v>46302</v>
      </c>
      <c r="B19" s="6" t="s">
        <v>32</v>
      </c>
      <c r="C19" s="6" t="s">
        <v>68</v>
      </c>
      <c r="D19" s="11" t="s">
        <v>67</v>
      </c>
    </row>
    <row r="20" spans="1:4" x14ac:dyDescent="0.3">
      <c r="A20" s="8">
        <v>46304</v>
      </c>
      <c r="B20" s="6" t="s">
        <v>32</v>
      </c>
      <c r="C20" s="6" t="s">
        <v>71</v>
      </c>
      <c r="D20" s="11" t="s">
        <v>70</v>
      </c>
    </row>
    <row r="21" spans="1:4" x14ac:dyDescent="0.3">
      <c r="A21" s="8">
        <v>46304</v>
      </c>
      <c r="B21" s="6" t="s">
        <v>32</v>
      </c>
      <c r="C21" s="6" t="s">
        <v>74</v>
      </c>
      <c r="D21" s="11" t="s">
        <v>73</v>
      </c>
    </row>
    <row r="22" spans="1:4" x14ac:dyDescent="0.3">
      <c r="A22" s="8">
        <v>46304</v>
      </c>
      <c r="B22" s="6" t="s">
        <v>43</v>
      </c>
      <c r="C22" s="6" t="s">
        <v>64</v>
      </c>
      <c r="D22" s="11" t="s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30" customWidth="1"/>
    <col min="3" max="3" width="18" customWidth="1"/>
    <col min="4" max="4" width="14" customWidth="1"/>
    <col min="5" max="5" width="55" customWidth="1"/>
  </cols>
  <sheetData>
    <row r="1" spans="1:5" ht="28.8" x14ac:dyDescent="0.3">
      <c r="A1" s="5" t="s">
        <v>76</v>
      </c>
      <c r="B1" s="5" t="s">
        <v>77</v>
      </c>
      <c r="C1" s="5" t="s">
        <v>78</v>
      </c>
      <c r="D1" s="5" t="s">
        <v>79</v>
      </c>
      <c r="E1" s="5" t="s">
        <v>80</v>
      </c>
    </row>
    <row r="2" spans="1:5" ht="28.8" x14ac:dyDescent="0.3">
      <c r="A2" s="6" t="s">
        <v>81</v>
      </c>
      <c r="B2" s="11" t="s">
        <v>81</v>
      </c>
      <c r="C2" s="6" t="s">
        <v>82</v>
      </c>
      <c r="D2" s="8">
        <v>46300</v>
      </c>
      <c r="E2" s="12" t="s">
        <v>83</v>
      </c>
    </row>
    <row r="3" spans="1:5" x14ac:dyDescent="0.3">
      <c r="A3" s="6" t="s">
        <v>84</v>
      </c>
      <c r="B3" s="11" t="s">
        <v>85</v>
      </c>
      <c r="C3" s="6" t="s">
        <v>82</v>
      </c>
      <c r="D3" s="8">
        <v>46301</v>
      </c>
      <c r="E3" s="12" t="s">
        <v>86</v>
      </c>
    </row>
    <row r="4" spans="1:5" ht="28.8" x14ac:dyDescent="0.3">
      <c r="A4" s="6" t="s">
        <v>87</v>
      </c>
      <c r="B4" s="11" t="s">
        <v>87</v>
      </c>
      <c r="C4" s="6" t="s">
        <v>82</v>
      </c>
      <c r="D4" s="8">
        <v>46301</v>
      </c>
      <c r="E4" s="12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Signals Log</vt:lpstr>
      <vt:lpstr>Excluded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Kinjal Shah</cp:lastModifiedBy>
  <dcterms:created xsi:type="dcterms:W3CDTF">2026-10-12T08:13:28Z</dcterms:created>
  <dcterms:modified xsi:type="dcterms:W3CDTF">2026-10-12T08:30:13Z</dcterms:modified>
</cp:coreProperties>
</file>