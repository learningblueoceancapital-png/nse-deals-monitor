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SUM(J8:J26)</f>
        <v>1677000.4</v>
      </c>
      <c r="F1" s="1" t="inlineStr">
        <is>
          <t>Current Value</t>
        </is>
      </c>
      <c r="G1" s="2">
        <f>SUM(L8:L26)</f>
        <v>1632729.69</v>
      </c>
    </row>
    <row r="2">
      <c r="D2" s="1" t="inlineStr">
        <is>
          <t>Total P&amp;L (Rs)</t>
        </is>
      </c>
      <c r="E2" s="2">
        <f>SUM(M8:M26)</f>
        <v>-44270.71</v>
      </c>
      <c r="F2" s="1" t="inlineStr">
        <is>
          <t>Total P&amp;L %</t>
        </is>
      </c>
      <c r="G2" s="3">
        <f>IF(E1=0,"",G1/E1-1)</f>
        <v>-0.026398747430233183</v>
      </c>
    </row>
    <row r="3">
      <c r="A3" s="1" t="inlineStr">
        <is>
          <t>As-of date</t>
        </is>
      </c>
      <c r="B3" s="4" t="n">
        <v>46304</v>
      </c>
      <c r="D3" s="1" t="inlineStr">
        <is>
          <t>Winners</t>
        </is>
      </c>
      <c r="E3">
        <f>COUNTIF(M8:M26,"&gt;0")</f>
        <v>3</v>
      </c>
      <c r="F3" s="1" t="inlineStr">
        <is>
          <t>Losers</t>
        </is>
      </c>
      <c r="G3">
        <f>COUNTIF(M8:M26,"&lt;0")</f>
        <v>14</v>
      </c>
    </row>
    <row r="4">
      <c r="D4" s="1" t="inlineStr">
        <is>
          <t>Win Rate</t>
        </is>
      </c>
      <c r="E4" s="3">
        <f>IF((E3+G3)=0,"",E3/(E3+G3))</f>
        <v>0.17647058823529413</v>
      </c>
      <c r="F4" s="1" t="inlineStr">
        <is>
          <t>Avg Return / Stock</t>
        </is>
      </c>
      <c r="G4" s="3">
        <f>AVERAGE(N8:N26)</f>
        <v>-0.026417719954767188</v>
      </c>
    </row>
    <row r="5">
      <c r="D5" s="1" t="inlineStr">
        <is>
          <t>Best Stock</t>
        </is>
      </c>
      <c r="E5" t="str">
        <f>INDEX(B8:B26,MATCH(MAX(N8:N26),N8:N26,0))</f>
        <v>Black Box Limited</v>
      </c>
      <c r="F5" s="1" t="inlineStr">
        <is>
          <t>Worst Stock</t>
        </is>
      </c>
      <c r="G5" t="str">
        <f>INDEX(B8:B26,MATCH(MIN(N8:N26),N8:N26,0))</f>
        <v>Lloyds Enterprises Limited</v>
      </c>
    </row>
    <row r="6">
      <c r="D6" s="1" t="inlineStr">
        <is>
          <t>Avg Return 4★*</t>
        </is>
      </c>
      <c r="E6" s="3">
        <f>AVERAGEIF(D8:D26,"4★*",N8:N26)</f>
        <v>-0.031129725497468865</v>
      </c>
      <c r="F6" s="1" t="inlineStr">
        <is>
          <t>Avg Return 5★*</t>
        </is>
      </c>
      <c r="G6" s="3">
        <f>AVERAGEIF(D8:D26,"5★*",N8:N26)</f>
        <v>-0.021116713719227798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299.45</v>
      </c>
      <c r="L8" s="9">
        <f>IF(OR(I8="",K8=""),"",K8*I8)</f>
        <v>99417.4</v>
      </c>
      <c r="M8" s="9">
        <f>IF(L8="","",L8-J8)</f>
        <v>-433.89</v>
      </c>
      <c r="N8" s="10">
        <f>IF(OR(H8="",K8=""),"",K8/H8-1)</f>
        <v>-0.004345396448882322</v>
      </c>
      <c r="O8" s="6">
        <f>IF(G8="","",$B$3-G8)</f>
        <v>4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323.45</v>
      </c>
      <c r="L9" s="9">
        <f>IF(OR(I9="",K9=""),"",K9*I9)</f>
        <v>98975.7</v>
      </c>
      <c r="M9" s="9">
        <f>IF(L9="","",L9-J9)</f>
        <v>-711.72</v>
      </c>
      <c r="N9" s="10">
        <f>IF(OR(H9="",K9=""),"",K9/H9-1)</f>
        <v>-0.007139518673332956</v>
      </c>
      <c r="O9" s="6">
        <f>IF(G9="","",$B$3-G9)</f>
        <v>3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1563.7</v>
      </c>
      <c r="L10" s="9">
        <f>IF(OR(I10="",K10=""),"",K10*I10)</f>
        <v>98513.1</v>
      </c>
      <c r="M10" s="9">
        <f>IF(L10="","",L10-J10)</f>
        <v>-1094.04</v>
      </c>
      <c r="N10" s="10">
        <f>IF(OR(H10="",K10=""),"",K10/H10-1)</f>
        <v>-0.010983559178772029</v>
      </c>
      <c r="O10" s="6">
        <f>IF(G10="","",$B$3-G10)</f>
        <v>3</v>
      </c>
      <c r="P10" s="6" t="str">
        <f>IF(H10="","Pending buy",IF(N10&gt;=0,"In profit","In loss"))</f>
        <v>In loss</v>
      </c>
      <c r="Q10" s="6" t="n">
        <v>1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73.73</v>
      </c>
      <c r="L11" s="9">
        <f>IF(OR(I11="",K11=""),"",K11*I11)</f>
        <v>92236.23</v>
      </c>
      <c r="M11" s="9">
        <f>IF(L11="","",L11-J11)</f>
        <v>-7691.0</v>
      </c>
      <c r="N11" s="10">
        <f>IF(OR(H11="",K11=""),"",K11/H11-1)</f>
        <v>-0.07696601169269857</v>
      </c>
      <c r="O11" s="6">
        <f>IF(G11="","",$B$3-G11)</f>
        <v>3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20890</v>
      </c>
      <c r="L12" s="9">
        <f>IF(OR(I12="",K12=""),"",K12*I12)</f>
        <v>83560.0</v>
      </c>
      <c r="M12" s="9">
        <f>IF(L12="","",L12-J12)</f>
        <v>-2977.12</v>
      </c>
      <c r="N12" s="10">
        <f>IF(OR(H12="",K12=""),"",K12/H12-1)</f>
        <v>-0.03440276580494794</v>
      </c>
      <c r="O12" s="6">
        <f>IF(G12="","",$B$3-G12)</f>
        <v>3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1764.4</v>
      </c>
      <c r="L13" s="9">
        <f>IF(OR(I13="",K13=""),"",K13*I13)</f>
        <v>93513.2</v>
      </c>
      <c r="M13" s="9">
        <f>IF(L13="","",L13-J13)</f>
        <v>-4664.33</v>
      </c>
      <c r="N13" s="10">
        <f>IF(OR(H13="",K13=""),"",K13/H13-1)</f>
        <v>-0.04750917045851566</v>
      </c>
      <c r="O13" s="6">
        <f>IF(G13="","",$B$3-G13)</f>
        <v>3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4550</v>
      </c>
      <c r="L14" s="9">
        <f>IF(OR(I14="",K14=""),"",K14*I14)</f>
        <v>100100.0</v>
      </c>
      <c r="M14" s="9">
        <f>IF(L14="","",L14-J14)</f>
        <v>2432.54</v>
      </c>
      <c r="N14" s="10">
        <f>IF(OR(H14="",K14=""),"",K14/H14-1)</f>
        <v>0.02490630672581884</v>
      </c>
      <c r="O14" s="6">
        <f>IF(G14="","",$B$3-G14)</f>
        <v>3</v>
      </c>
      <c r="P14" s="6" t="str">
        <f>IF(H14="","Pending buy",IF(N14&gt;=0,"In profit","In loss"))</f>
        <v>In profit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1479.6</v>
      </c>
      <c r="L15" s="9">
        <f>IF(OR(I15="",K15=""),"",K15*I15)</f>
        <v>94694.4</v>
      </c>
      <c r="M15" s="9">
        <f>IF(L15="","",L15-J15)</f>
        <v>-4383.79</v>
      </c>
      <c r="N15" s="10">
        <f>IF(OR(H15="",K15=""),"",K15/H15-1)</f>
        <v>-0.04424573855151881</v>
      </c>
      <c r="O15" s="6">
        <f>IF(G15="","",$B$3-G15)</f>
        <v>2</v>
      </c>
      <c r="P15" s="6" t="str">
        <f>IF(H15="","Pending buy",IF(N15&gt;=0,"In profit","In loss"))</f>
        <v>In loss</v>
      </c>
      <c r="Q15" s="6" t="n">
        <v>1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1434.4</v>
      </c>
      <c r="L16" s="9">
        <f>IF(OR(I16="",K16=""),"",K16*I16)</f>
        <v>97539.2</v>
      </c>
      <c r="M16" s="9">
        <f>IF(L16="","",L16-J16)</f>
        <v>-1018.34</v>
      </c>
      <c r="N16" s="10">
        <f>IF(OR(H16="",K16=""),"",K16/H16-1)</f>
        <v>-0.01033240634859689</v>
      </c>
      <c r="O16" s="6">
        <f>IF(G16="","",$B$3-G16)</f>
        <v>2</v>
      </c>
      <c r="P16" s="6" t="str">
        <f>IF(H16="","Pending buy",IF(N16&gt;=0,"In profit","In loss"))</f>
        <v>In loss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892.1</v>
      </c>
      <c r="L17" s="9">
        <f>IF(OR(I17="",K17=""),"",K17*I17)</f>
        <v>102591.5</v>
      </c>
      <c r="M17" s="9">
        <f>IF(L17="","",L17-J17)</f>
        <v>2877.15</v>
      </c>
      <c r="N17" s="10">
        <f>IF(OR(H17="",K17=""),"",K17/H17-1)</f>
        <v>0.028853920452130977</v>
      </c>
      <c r="O17" s="6">
        <f>IF(G17="","",$B$3-G17)</f>
        <v>2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656.65</v>
      </c>
      <c r="L18" s="9">
        <f>IF(OR(I18="",K18=""),"",K18*I18)</f>
        <v>92587.65</v>
      </c>
      <c r="M18" s="9">
        <f>IF(L18="","",L18-J18)</f>
        <v>-7009.18</v>
      </c>
      <c r="N18" s="10">
        <f>IF(OR(H18="",K18=""),"",K18/H18-1)</f>
        <v>-0.07037557586969878</v>
      </c>
      <c r="O18" s="6">
        <f>IF(G18="","",$B$3-G18)</f>
        <v>2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142.67</v>
      </c>
      <c r="L19" s="9">
        <f>IF(OR(I19="",K19=""),"",K19*I19)</f>
        <v>94590.21</v>
      </c>
      <c r="M19" s="9">
        <f>IF(L19="","",L19-J19)</f>
        <v>-5402.86</v>
      </c>
      <c r="N19" s="10">
        <f>IF(OR(H19="",K19=""),"",K19/H19-1)</f>
        <v>-0.05403229987384306</v>
      </c>
      <c r="O19" s="6">
        <f>IF(G19="","",$B$3-G19)</f>
        <v>2</v>
      </c>
      <c r="P19" s="6" t="str">
        <f>IF(H19="","Pending buy",IF(N19&gt;=0,"In profit","In loss"))</f>
        <v>In loss</v>
      </c>
      <c r="Q19" s="6" t="n">
        <v>1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200.45</v>
      </c>
      <c r="L20" s="9">
        <f>IF(OR(I20="",K20=""),"",K20*I20)</f>
        <v>95614.65</v>
      </c>
      <c r="M20" s="9">
        <f>IF(L20="","",L20-J20)</f>
        <v>-4281.78</v>
      </c>
      <c r="N20" s="10">
        <f>IF(OR(H20="",K20=""),"",K20/H20-1)</f>
        <v>-0.04286219243012823</v>
      </c>
      <c r="O20" s="6">
        <f>IF(G20="","",$B$3-G20)</f>
        <v>2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1320</v>
      </c>
      <c r="L21" s="9">
        <f>IF(OR(I21="",K21=""),"",K21*I21)</f>
        <v>93720.0</v>
      </c>
      <c r="M21" s="9">
        <f>IF(L21="","",L21-J21)</f>
        <v>-5729.47</v>
      </c>
      <c r="N21" s="10">
        <f>IF(OR(H21="",K21=""),"",K21/H21-1)</f>
        <v>-0.057611835939567424</v>
      </c>
      <c r="O21" s="6">
        <f>IF(G21="","",$B$3-G21)</f>
        <v>2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697.1</v>
      </c>
      <c r="L22" s="9">
        <f>IF(OR(I22="",K22=""),"",K22*I22)</f>
        <v>100382.4</v>
      </c>
      <c r="M22" s="9">
        <f>IF(L22="","",L22-J22)</f>
        <v>545.35</v>
      </c>
      <c r="N22" s="10">
        <f>IF(OR(H22="",K22=""),"",K22/H22-1)</f>
        <v>0.005462389702842074</v>
      </c>
      <c r="O22" s="6">
        <f>IF(G22="","",$B$3-G22)</f>
        <v>2</v>
      </c>
      <c r="P22" s="6" t="str">
        <f>IF(H22="","Pending buy",IF(N22&gt;=0,"In profit","In loss"))</f>
        <v>In profit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654.85</v>
      </c>
      <c r="L23" s="9">
        <f>IF(OR(I23="",K23=""),"",K23*I23)</f>
        <v>94953.25</v>
      </c>
      <c r="M23" s="9">
        <f>IF(L23="","",L23-J23)</f>
        <v>-4533.63</v>
      </c>
      <c r="N23" s="10">
        <f>IF(OR(H23="",K23=""),"",K23/H23-1)</f>
        <v>-0.04557014086451927</v>
      </c>
      <c r="O23" s="6">
        <f>IF(G23="","",$B$3-G23)</f>
        <v>2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227.2</v>
      </c>
      <c r="L24" s="9">
        <f>IF(OR(I24="",K24=""),"",K24*I24)</f>
        <v>99740.8</v>
      </c>
      <c r="M24" s="9">
        <f>IF(L24="","",L24-J24)</f>
        <v>-194.6</v>
      </c>
      <c r="N24" s="10">
        <f>IF(OR(H24="",K24=""),"",K24/H24-1)</f>
        <v>-0.0019472439768121186</v>
      </c>
      <c r="O24" s="6">
        <f>IF(G24="","",$B$3-G24)</f>
        <v>1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6" t="inlineStr"/>
      <c r="H25" s="9" t="inlineStr"/>
      <c r="I25" s="6" t="str">
        <f>IF(H25="","",ROUNDDOWN($B$1/H25,0))</f>
        <v/>
      </c>
      <c r="J25" s="9" t="str">
        <f>IF(H25="","",H25*I25)</f>
        <v/>
      </c>
      <c r="K25" s="9" t="n">
        <v>788.4</v>
      </c>
      <c r="L25" s="9" t="str">
        <f>IF(OR(I25="",K25=""),"",K25*I25)</f>
        <v/>
      </c>
      <c r="M25" s="9" t="str">
        <f>IF(L25="","",L25-J25)</f>
        <v/>
      </c>
      <c r="N25" s="10" t="str">
        <f>IF(OR(H25="",K25=""),"",K25/H25-1)</f>
        <v/>
      </c>
      <c r="O25" s="6" t="str">
        <f>IF(G25="","",$B$3-G25)</f>
        <v/>
      </c>
      <c r="P25" s="6" t="str">
        <f>IF(H25="","Pending buy",IF(N25&gt;=0,"In profit","In loss"))</f>
        <v>Pending buy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6" t="inlineStr"/>
      <c r="H26" s="9" t="inlineStr"/>
      <c r="I26" s="6" t="str">
        <f>IF(H26="","",ROUNDDOWN($B$1/H26,0))</f>
        <v/>
      </c>
      <c r="J26" s="9" t="str">
        <f>IF(H26="","",H26*I26)</f>
        <v/>
      </c>
      <c r="K26" s="9" t="n">
        <v>214.94</v>
      </c>
      <c r="L26" s="9" t="str">
        <f>IF(OR(I26="",K26=""),"",K26*I26)</f>
        <v/>
      </c>
      <c r="M26" s="9" t="str">
        <f>IF(L26="","",L26-J26)</f>
        <v/>
      </c>
      <c r="N26" s="10" t="str">
        <f>IF(OR(H26="",K26=""),"",K26/H26-1)</f>
        <v/>
      </c>
      <c r="O26" s="6" t="str">
        <f>IF(G26="","",$B$3-G26)</f>
        <v/>
      </c>
      <c r="P26" s="6" t="str">
        <f>IF(H26="","Pending buy",IF(N26&gt;=0,"In profit","In loss"))</f>
        <v>Pending buy</v>
      </c>
      <c r="Q26" s="6" t="n">
        <v>1</v>
      </c>
    </row>
  </sheetData>
  <conditionalFormatting sqref="A8:Q26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2026-10-12T10:03:33Z</dcterms:created>
  <dcterms:modified xsi:type="dcterms:W3CDTF">2026-10-12T10:03:33Z</dcterms:modified>
</cp:coreProperties>
</file>