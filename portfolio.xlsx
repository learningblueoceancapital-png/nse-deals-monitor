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SUM(J8:J60)</f>
        <v>5052225.67</v>
      </c>
      <c r="F1" s="1" t="inlineStr">
        <is>
          <t>Current Value</t>
        </is>
      </c>
      <c r="G1" s="2">
        <f>SUM(L8:L60)</f>
        <v>4891693.01</v>
      </c>
    </row>
    <row r="2">
      <c r="D2" s="1" t="inlineStr">
        <is>
          <t>Total P&amp;L (Rs)</t>
        </is>
      </c>
      <c r="E2" s="2">
        <f>SUM(M8:M60)</f>
        <v>-160532.66</v>
      </c>
      <c r="F2" s="1" t="inlineStr">
        <is>
          <t>Total P&amp;L %</t>
        </is>
      </c>
      <c r="G2" s="3">
        <f>IF(E1=0,"",G1/E1-1)</f>
        <v>-0.03177464161057564</v>
      </c>
    </row>
    <row r="3">
      <c r="A3" s="1" t="inlineStr">
        <is>
          <t>As-of date</t>
        </is>
      </c>
      <c r="B3" s="4" t="n">
        <v>46324</v>
      </c>
      <c r="D3" s="1" t="inlineStr">
        <is>
          <t>Winners</t>
        </is>
      </c>
      <c r="E3">
        <f>COUNTIF(M8:M60,"&gt;0")</f>
        <v>17</v>
      </c>
      <c r="F3" s="1" t="inlineStr">
        <is>
          <t>Losers</t>
        </is>
      </c>
      <c r="G3">
        <f>COUNTIF(M8:M60,"&lt;0")</f>
        <v>34</v>
      </c>
    </row>
    <row r="4">
      <c r="D4" s="1" t="inlineStr">
        <is>
          <t>Win Rate</t>
        </is>
      </c>
      <c r="E4" s="3">
        <f>IF((E3+G3)=0,"",E3/(E3+G3))</f>
        <v>0.3333333333333333</v>
      </c>
      <c r="F4" s="1" t="inlineStr">
        <is>
          <t>Avg Return / Stock</t>
        </is>
      </c>
      <c r="G4" s="3">
        <f>AVERAGE(N8:N60)</f>
        <v>-0.03195244959288102</v>
      </c>
    </row>
    <row r="5">
      <c r="D5" s="1" t="inlineStr">
        <is>
          <t>Best Stock</t>
        </is>
      </c>
      <c r="E5" t="str">
        <f>INDEX(B8:B60,MATCH(MAX(N8:N60),N8:N60,0))</f>
        <v>Pashupati Cotspin Limited</v>
      </c>
      <c r="F5" s="1" t="inlineStr">
        <is>
          <t>Worst Stock</t>
        </is>
      </c>
      <c r="G5" t="str">
        <f>INDEX(B8:B60,MATCH(MIN(N8:N60),N8:N60,0))</f>
        <v>Lloyds Enterprises Limited</v>
      </c>
    </row>
    <row r="6">
      <c r="D6" s="1" t="inlineStr">
        <is>
          <t>Avg Return 4★*</t>
        </is>
      </c>
      <c r="E6" s="3">
        <f>AVERAGEIF(D8:D60,"4★*",N8:N60)</f>
        <v>-0.05965058830936478</v>
      </c>
      <c r="F6" s="1" t="inlineStr">
        <is>
          <t>Avg Return 5★*</t>
        </is>
      </c>
      <c r="G6" s="3">
        <f>AVERAGEIF(D8:D60,"5★*",N8:N60)</f>
        <v>-0.01550667972996879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293.25</v>
      </c>
      <c r="L8" s="9">
        <f>IF(OR(I8="",K8=""),"",K8*I8)</f>
        <v>97359.0</v>
      </c>
      <c r="M8" s="9">
        <f>IF(L8="","",L8-J8)</f>
        <v>-2492.29</v>
      </c>
      <c r="N8" s="10">
        <f>IF(OR(H8="",K8=""),"",K8/H8-1)</f>
        <v>-0.024960051790398174</v>
      </c>
      <c r="O8" s="6">
        <f>IF(G8="","",$B$3-G8)</f>
        <v>24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337.85</v>
      </c>
      <c r="L9" s="9">
        <f>IF(OR(I9="",K9=""),"",K9*I9)</f>
        <v>103382.1</v>
      </c>
      <c r="M9" s="9">
        <f>IF(L9="","",L9-J9)</f>
        <v>3694.68</v>
      </c>
      <c r="N9" s="10">
        <f>IF(OR(H9="",K9=""),"",K9/H9-1)</f>
        <v>0.037062648372899964</v>
      </c>
      <c r="O9" s="6">
        <f>IF(G9="","",$B$3-G9)</f>
        <v>23</v>
      </c>
      <c r="P9" s="6" t="str">
        <f>IF(H9="","Pending buy",IF(N9&gt;=0,"In profit","In loss"))</f>
        <v>In profit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1429.2</v>
      </c>
      <c r="L10" s="9">
        <f>IF(OR(I10="",K10=""),"",K10*I10)</f>
        <v>90039.6</v>
      </c>
      <c r="M10" s="9">
        <f>IF(L10="","",L10-J10)</f>
        <v>-9567.54</v>
      </c>
      <c r="N10" s="10">
        <f>IF(OR(H10="",K10=""),"",K10/H10-1)</f>
        <v>-0.09605276125746687</v>
      </c>
      <c r="O10" s="6">
        <f>IF(G10="","",$B$3-G10)</f>
        <v>23</v>
      </c>
      <c r="P10" s="6" t="str">
        <f>IF(H10="","Pending buy",IF(N10&gt;=0,"In profit","In loss"))</f>
        <v>In loss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62.76</v>
      </c>
      <c r="L11" s="9">
        <f>IF(OR(I11="",K11=""),"",K11*I11)</f>
        <v>78512.76</v>
      </c>
      <c r="M11" s="9">
        <f>IF(L11="","",L11-J11)</f>
        <v>-21414.47</v>
      </c>
      <c r="N11" s="10">
        <f>IF(OR(H11="",K11=""),"",K11/H11-1)</f>
        <v>-0.2143006495840739</v>
      </c>
      <c r="O11" s="6">
        <f>IF(G11="","",$B$3-G11)</f>
        <v>23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19280</v>
      </c>
      <c r="L12" s="9">
        <f>IF(OR(I12="",K12=""),"",K12*I12)</f>
        <v>77120.0</v>
      </c>
      <c r="M12" s="9">
        <f>IF(L12="","",L12-J12)</f>
        <v>-9417.12</v>
      </c>
      <c r="N12" s="10">
        <f>IF(OR(H12="",K12=""),"",K12/H12-1)</f>
        <v>-0.10882170056100504</v>
      </c>
      <c r="O12" s="6">
        <f>IF(G12="","",$B$3-G12)</f>
        <v>23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1783.9</v>
      </c>
      <c r="L13" s="9">
        <f>IF(OR(I13="",K13=""),"",K13*I13)</f>
        <v>94546.7</v>
      </c>
      <c r="M13" s="9">
        <f>IF(L13="","",L13-J13)</f>
        <v>-3630.83</v>
      </c>
      <c r="N13" s="10">
        <f>IF(OR(H13="",K13=""),"",K13/H13-1)</f>
        <v>-0.03698232213837338</v>
      </c>
      <c r="O13" s="6">
        <f>IF(G13="","",$B$3-G13)</f>
        <v>23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4235</v>
      </c>
      <c r="L14" s="9">
        <f>IF(OR(I14="",K14=""),"",K14*I14)</f>
        <v>93170.0</v>
      </c>
      <c r="M14" s="9">
        <f>IF(L14="","",L14-J14)</f>
        <v>-4497.46</v>
      </c>
      <c r="N14" s="10">
        <f>IF(OR(H14="",K14=""),"",K14/H14-1)</f>
        <v>-0.046048745278276404</v>
      </c>
      <c r="O14" s="6">
        <f>IF(G14="","",$B$3-G14)</f>
        <v>23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1359.2</v>
      </c>
      <c r="L15" s="9">
        <f>IF(OR(I15="",K15=""),"",K15*I15)</f>
        <v>86988.8</v>
      </c>
      <c r="M15" s="9">
        <f>IF(L15="","",L15-J15)</f>
        <v>-12089.39</v>
      </c>
      <c r="N15" s="10">
        <f>IF(OR(H15="",K15=""),"",K15/H15-1)</f>
        <v>-0.1220186589883917</v>
      </c>
      <c r="O15" s="6">
        <f>IF(G15="","",$B$3-G15)</f>
        <v>22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1663</v>
      </c>
      <c r="L16" s="9">
        <f>IF(OR(I16="",K16=""),"",K16*I16)</f>
        <v>113084.0</v>
      </c>
      <c r="M16" s="9">
        <f>IF(L16="","",L16-J16)</f>
        <v>14526.46</v>
      </c>
      <c r="N16" s="10">
        <f>IF(OR(H16="",K16=""),"",K16/H16-1)</f>
        <v>0.14739069174726938</v>
      </c>
      <c r="O16" s="6">
        <f>IF(G16="","",$B$3-G16)</f>
        <v>22</v>
      </c>
      <c r="P16" s="6" t="str">
        <f>IF(H16="","Pending buy",IF(N16&gt;=0,"In profit","In loss"))</f>
        <v>In profit</v>
      </c>
      <c r="Q16" s="6" t="n">
        <v>3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821.15</v>
      </c>
      <c r="L17" s="9">
        <f>IF(OR(I17="",K17=""),"",K17*I17)</f>
        <v>94432.25</v>
      </c>
      <c r="M17" s="9">
        <f>IF(L17="","",L17-J17)</f>
        <v>-5282.1</v>
      </c>
      <c r="N17" s="10">
        <f>IF(OR(H17="",K17=""),"",K17/H17-1)</f>
        <v>-0.052972316131299935</v>
      </c>
      <c r="O17" s="6">
        <f>IF(G17="","",$B$3-G17)</f>
        <v>22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590.95</v>
      </c>
      <c r="L18" s="9">
        <f>IF(OR(I18="",K18=""),"",K18*I18)</f>
        <v>83323.95</v>
      </c>
      <c r="M18" s="9">
        <f>IF(L18="","",L18-J18)</f>
        <v>-16272.88</v>
      </c>
      <c r="N18" s="10">
        <f>IF(OR(H18="",K18=""),"",K18/H18-1)</f>
        <v>-0.16338756805025267</v>
      </c>
      <c r="O18" s="6">
        <f>IF(G18="","",$B$3-G18)</f>
        <v>22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126.35</v>
      </c>
      <c r="L19" s="9">
        <f>IF(OR(I19="",K19=""),"",K19*I19)</f>
        <v>83770.05</v>
      </c>
      <c r="M19" s="9">
        <f>IF(L19="","",L19-J19)</f>
        <v>-16223.02</v>
      </c>
      <c r="N19" s="10">
        <f>IF(OR(H19="",K19=""),"",K19/H19-1)</f>
        <v>-0.16224140386248032</v>
      </c>
      <c r="O19" s="6">
        <f>IF(G19="","",$B$3-G19)</f>
        <v>22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213.7</v>
      </c>
      <c r="L20" s="9">
        <f>IF(OR(I20="",K20=""),"",K20*I20)</f>
        <v>101934.9</v>
      </c>
      <c r="M20" s="9">
        <f>IF(L20="","",L20-J20)</f>
        <v>2038.47</v>
      </c>
      <c r="N20" s="10">
        <f>IF(OR(H20="",K20=""),"",K20/H20-1)</f>
        <v>0.020405834261320033</v>
      </c>
      <c r="O20" s="6">
        <f>IF(G20="","",$B$3-G20)</f>
        <v>22</v>
      </c>
      <c r="P20" s="6" t="str">
        <f>IF(H20="","Pending buy",IF(N20&gt;=0,"In profit","In loss"))</f>
        <v>In profit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1219.2</v>
      </c>
      <c r="L21" s="9">
        <f>IF(OR(I21="",K21=""),"",K21*I21)</f>
        <v>86563.2</v>
      </c>
      <c r="M21" s="9">
        <f>IF(L21="","",L21-J21)</f>
        <v>-12886.27</v>
      </c>
      <c r="N21" s="10">
        <f>IF(OR(H21="",K21=""),"",K21/H21-1)</f>
        <v>-0.1295760230132732</v>
      </c>
      <c r="O21" s="6">
        <f>IF(G21="","",$B$3-G21)</f>
        <v>22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642.85</v>
      </c>
      <c r="L22" s="9">
        <f>IF(OR(I22="",K22=""),"",K22*I22)</f>
        <v>92570.4</v>
      </c>
      <c r="M22" s="9">
        <f>IF(L22="","",L22-J22)</f>
        <v>-7266.65</v>
      </c>
      <c r="N22" s="10">
        <f>IF(OR(H22="",K22=""),"",K22/H22-1)</f>
        <v>-0.07278511372762586</v>
      </c>
      <c r="O22" s="6">
        <f>IF(G22="","",$B$3-G22)</f>
        <v>22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577.85</v>
      </c>
      <c r="L23" s="9">
        <f>IF(OR(I23="",K23=""),"",K23*I23)</f>
        <v>83788.25</v>
      </c>
      <c r="M23" s="9">
        <f>IF(L23="","",L23-J23)</f>
        <v>-15698.63</v>
      </c>
      <c r="N23" s="10">
        <f>IF(OR(H23="",K23=""),"",K23/H23-1)</f>
        <v>-0.15779599282058854</v>
      </c>
      <c r="O23" s="6">
        <f>IF(G23="","",$B$3-G23)</f>
        <v>22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239.94</v>
      </c>
      <c r="L24" s="9">
        <f>IF(OR(I24="",K24=""),"",K24*I24)</f>
        <v>105333.66</v>
      </c>
      <c r="M24" s="9">
        <f>IF(L24="","",L24-J24)</f>
        <v>5398.26</v>
      </c>
      <c r="N24" s="10">
        <f>IF(OR(H24="",K24=""),"",K24/H24-1)</f>
        <v>0.054017510036107774</v>
      </c>
      <c r="O24" s="6">
        <f>IF(G24="","",$B$3-G24)</f>
        <v>21</v>
      </c>
      <c r="P24" s="6" t="str">
        <f>IF(H24="","Pending buy",IF(N24&gt;=0,"In profit","In loss"))</f>
        <v>In profit</v>
      </c>
      <c r="Q24" s="6" t="n">
        <v>2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722.85</v>
      </c>
      <c r="L25" s="9">
        <f>IF(OR(I25="",K25=""),"",K25*I25)</f>
        <v>89633.4</v>
      </c>
      <c r="M25" s="9">
        <f>IF(L25="","",L25-J25)</f>
        <v>-9989.24</v>
      </c>
      <c r="N25" s="10">
        <f>IF(OR(H25="",K25=""),"",K25/H25-1)</f>
        <v>-0.10027074923708967</v>
      </c>
      <c r="O25" s="6">
        <f>IF(G25="","",$B$3-G25)</f>
        <v>17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190.02</v>
      </c>
      <c r="L26" s="9">
        <f>IF(OR(I26="",K26=""),"",K26*I26)</f>
        <v>90259.5</v>
      </c>
      <c r="M26" s="9">
        <f>IF(L26="","",L26-J26)</f>
        <v>-9688.67</v>
      </c>
      <c r="N26" s="10">
        <f>IF(OR(H26="",K26=""),"",K26/H26-1)</f>
        <v>-0.09693691237483615</v>
      </c>
      <c r="O26" s="6">
        <f>IF(G26="","",$B$3-G26)</f>
        <v>17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210.9</v>
      </c>
      <c r="L27" s="9">
        <f>IF(OR(I27="",K27=""),"",K27*I27)</f>
        <v>80563.8</v>
      </c>
      <c r="M27" s="9">
        <f>IF(L27="","",L27-J27)</f>
        <v>-19181.47</v>
      </c>
      <c r="N27" s="10">
        <f>IF(OR(H27="",K27=""),"",K27/H27-1)</f>
        <v>-0.19230458136790274</v>
      </c>
      <c r="O27" s="6">
        <f>IF(G27="","",$B$3-G27)</f>
        <v>16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10833</v>
      </c>
      <c r="L28" s="9">
        <f>IF(OR(I28="",K28=""),"",K28*I28)</f>
        <v>97497.0</v>
      </c>
      <c r="M28" s="9">
        <f>IF(L28="","",L28-J28)</f>
        <v>2162.16</v>
      </c>
      <c r="N28" s="10">
        <f>IF(OR(H28="",K28=""),"",K28/H28-1)</f>
        <v>0.02267961588549383</v>
      </c>
      <c r="O28" s="6">
        <f>IF(G28="","",$B$3-G28)</f>
        <v>16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1800.1</v>
      </c>
      <c r="L29" s="9">
        <f>IF(OR(I29="",K29=""),"",K29*I29)</f>
        <v>91805.1</v>
      </c>
      <c r="M29" s="9">
        <f>IF(L29="","",L29-J29)</f>
        <v>-6793.49</v>
      </c>
      <c r="N29" s="10">
        <f>IF(OR(H29="",K29=""),"",K29/H29-1)</f>
        <v>-0.06890044290167796</v>
      </c>
      <c r="O29" s="6">
        <f>IF(G29="","",$B$3-G29)</f>
        <v>16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15.28</v>
      </c>
      <c r="L30" s="9">
        <f>IF(OR(I30="",K30=""),"",K30*I30)</f>
        <v>103033.04</v>
      </c>
      <c r="M30" s="9">
        <f>IF(L30="","",L30-J30)</f>
        <v>3034.35</v>
      </c>
      <c r="N30" s="10">
        <f>IF(OR(H30="",K30=""),"",K30/H30-1)</f>
        <v>0.03034389750505717</v>
      </c>
      <c r="O30" s="6">
        <f>IF(G30="","",$B$3-G30)</f>
        <v>16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144.85</v>
      </c>
      <c r="L31" s="9">
        <f>IF(OR(I31="",K31=""),"",K31*I31)</f>
        <v>81695.4</v>
      </c>
      <c r="M31" s="9">
        <f>IF(L31="","",L31-J31)</f>
        <v>-18281.94</v>
      </c>
      <c r="N31" s="10">
        <f>IF(OR(H31="",K31=""),"",K31/H31-1)</f>
        <v>-0.18286082135750104</v>
      </c>
      <c r="O31" s="6">
        <f>IF(G31="","",$B$3-G31)</f>
        <v>15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175.16</v>
      </c>
      <c r="L32" s="9">
        <f>IF(OR(I32="",K32=""),"",K32*I32)</f>
        <v>98965.4</v>
      </c>
      <c r="M32" s="9">
        <f>IF(L32="","",L32-J32)</f>
        <v>-958.42</v>
      </c>
      <c r="N32" s="10">
        <f>IF(OR(H32="",K32=""),"",K32/H32-1)</f>
        <v>-0.009591503539047919</v>
      </c>
      <c r="O32" s="6">
        <f>IF(G32="","",$B$3-G32)</f>
        <v>15</v>
      </c>
      <c r="P32" s="6" t="str">
        <f>IF(H32="","Pending buy",IF(N32&gt;=0,"In profit","In loss"))</f>
        <v>In loss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498.7</v>
      </c>
      <c r="L33" s="9">
        <f>IF(OR(I33="",K33=""),"",K33*I33)</f>
        <v>94254.3</v>
      </c>
      <c r="M33" s="9">
        <f>IF(L33="","",L33-J33)</f>
        <v>-5354.28</v>
      </c>
      <c r="N33" s="10">
        <f>IF(OR(H33="",K33=""),"",K33/H33-1)</f>
        <v>-0.053753154439184714</v>
      </c>
      <c r="O33" s="6">
        <f>IF(G33="","",$B$3-G33)</f>
        <v>15</v>
      </c>
      <c r="P33" s="6" t="str">
        <f>IF(H33="","Pending buy",IF(N33&gt;=0,"In profit","In loss"))</f>
        <v>In loss</v>
      </c>
      <c r="Q33" s="6" t="n">
        <v>2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4387</v>
      </c>
      <c r="L34" s="9">
        <f>IF(OR(I34="",K34=""),"",K34*I34)</f>
        <v>83353.0</v>
      </c>
      <c r="M34" s="9">
        <f>IF(L34="","",L34-J34)</f>
        <v>-12677.46</v>
      </c>
      <c r="N34" s="10">
        <f>IF(OR(H34="",K34=""),"",K34/H34-1)</f>
        <v>-0.1320149942975294</v>
      </c>
      <c r="O34" s="6">
        <f>IF(G34="","",$B$3-G34)</f>
        <v>15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946.3</v>
      </c>
      <c r="L35" s="9">
        <f>IF(OR(I35="",K35=""),"",K35*I35)</f>
        <v>86113.3</v>
      </c>
      <c r="M35" s="9">
        <f>IF(L35="","",L35-J35)</f>
        <v>-12969.59</v>
      </c>
      <c r="N35" s="10">
        <f>IF(OR(H35="",K35=""),"",K35/H35-1)</f>
        <v>-0.13089638995502495</v>
      </c>
      <c r="O35" s="6">
        <f>IF(G35="","",$B$3-G35)</f>
        <v>14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89.77</v>
      </c>
      <c r="L36" s="9">
        <f>IF(OR(I36="",K36=""),"",K36*I36)</f>
        <v>92014.25</v>
      </c>
      <c r="M36" s="9">
        <f>IF(L36="","",L36-J36)</f>
        <v>-7896.32</v>
      </c>
      <c r="N36" s="10">
        <f>IF(OR(H36="",K36=""),"",K36/H36-1)</f>
        <v>-0.07903389106036862</v>
      </c>
      <c r="O36" s="6">
        <f>IF(G36="","",$B$3-G36)</f>
        <v>14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946.5</v>
      </c>
      <c r="L37" s="9">
        <f>IF(OR(I37="",K37=""),"",K37*I37)</f>
        <v>94650.0</v>
      </c>
      <c r="M37" s="9">
        <f>IF(L37="","",L37-J37)</f>
        <v>-4786.51</v>
      </c>
      <c r="N37" s="10">
        <f>IF(OR(H37="",K37=""),"",K37/H37-1)</f>
        <v>-0.04813637124235881</v>
      </c>
      <c r="O37" s="6">
        <f>IF(G37="","",$B$3-G37)</f>
        <v>14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112.91</v>
      </c>
      <c r="L38" s="9">
        <f>IF(OR(I38="",K38=""),"",K38*I38)</f>
        <v>92473.29</v>
      </c>
      <c r="M38" s="9">
        <f>IF(L38="","",L38-J38)</f>
        <v>-7478.19</v>
      </c>
      <c r="N38" s="10">
        <f>IF(OR(H38="",K38=""),"",K38/H38-1)</f>
        <v>-0.07481820087513469</v>
      </c>
      <c r="O38" s="6">
        <f>IF(G38="","",$B$3-G38)</f>
        <v>14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500.15</v>
      </c>
      <c r="L39" s="9">
        <f>IF(OR(I39="",K39=""),"",K39*I39)</f>
        <v>89526.85</v>
      </c>
      <c r="M39" s="9">
        <f>IF(L39="","",L39-J39)</f>
        <v>-10139.93</v>
      </c>
      <c r="N39" s="10">
        <f>IF(OR(H39="",K39=""),"",K39/H39-1)</f>
        <v>-0.1017382775076171</v>
      </c>
      <c r="O39" s="6">
        <f>IF(G39="","",$B$3-G39)</f>
        <v>10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12.54</v>
      </c>
      <c r="L40" s="9">
        <f>IF(OR(I40="",K40=""),"",K40*I40)</f>
        <v>96783.72</v>
      </c>
      <c r="M40" s="9">
        <f>IF(L40="","",L40-J40)</f>
        <v>-3214.92</v>
      </c>
      <c r="N40" s="10">
        <f>IF(OR(H40="",K40=""),"",K40/H40-1)</f>
        <v>-0.03214961269004679</v>
      </c>
      <c r="O40" s="6">
        <f>IF(G40="","",$B$3-G40)</f>
        <v>10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123.45</v>
      </c>
      <c r="L41" s="9">
        <f>IF(OR(I41="",K41=""),"",K41*I41)</f>
        <v>98142.75</v>
      </c>
      <c r="M41" s="9">
        <f>IF(L41="","",L41-J41)</f>
        <v>-1747.07</v>
      </c>
      <c r="N41" s="10">
        <f>IF(OR(H41="",K41=""),"",K41/H41-1)</f>
        <v>-0.01748996007252701</v>
      </c>
      <c r="O41" s="6">
        <f>IF(G41="","",$B$3-G41)</f>
        <v>8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127.83</v>
      </c>
      <c r="L42" s="9">
        <f>IF(OR(I42="",K42=""),"",K42*I42)</f>
        <v>135883.29</v>
      </c>
      <c r="M42" s="9">
        <f>IF(L42="","",L42-J42)</f>
        <v>35958.09</v>
      </c>
      <c r="N42" s="10">
        <f>IF(OR(H42="",K42=""),"",K42/H42-1)</f>
        <v>0.359850087351991</v>
      </c>
      <c r="O42" s="6">
        <f>IF(G42="","",$B$3-G42)</f>
        <v>8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8" t="n">
        <v>46318</v>
      </c>
      <c r="H43" s="9" t="n">
        <v>633.09</v>
      </c>
      <c r="I43" s="6">
        <f>IF(H43="","",ROUNDDOWN($B$1/H43,0))</f>
        <v>157</v>
      </c>
      <c r="J43" s="9">
        <f>IF(H43="","",H43*I43)</f>
        <v>99394.67</v>
      </c>
      <c r="K43" s="9" t="n">
        <v>680.9</v>
      </c>
      <c r="L43" s="9">
        <f>IF(OR(I43="",K43=""),"",K43*I43)</f>
        <v>106901.3</v>
      </c>
      <c r="M43" s="9">
        <f>IF(L43="","",L43-J43)</f>
        <v>7506.63</v>
      </c>
      <c r="N43" s="10">
        <f>IF(OR(H43="",K43=""),"",K43/H43-1)</f>
        <v>0.07552344252216647</v>
      </c>
      <c r="O43" s="6">
        <f>IF(G43="","",$B$3-G43)</f>
        <v>6</v>
      </c>
      <c r="P43" s="6" t="str">
        <f>IF(H43="","Pending buy",IF(N43&gt;=0,"In profit","In loss"))</f>
        <v>In profit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8" t="n">
        <v>46318</v>
      </c>
      <c r="H44" s="9" t="n">
        <v>330.5</v>
      </c>
      <c r="I44" s="6">
        <f>IF(H44="","",ROUNDDOWN($B$1/H44,0))</f>
        <v>302</v>
      </c>
      <c r="J44" s="9">
        <f>IF(H44="","",H44*I44)</f>
        <v>99810.88</v>
      </c>
      <c r="K44" s="9" t="n">
        <v>409.8</v>
      </c>
      <c r="L44" s="9">
        <f>IF(OR(I44="",K44=""),"",K44*I44)</f>
        <v>123759.6</v>
      </c>
      <c r="M44" s="9">
        <f>IF(L44="","",L44-J44)</f>
        <v>23948.72</v>
      </c>
      <c r="N44" s="10">
        <f>IF(OR(H44="",K44=""),"",K44/H44-1)</f>
        <v>0.2399409713059748</v>
      </c>
      <c r="O44" s="6">
        <f>IF(G44="","",$B$3-G44)</f>
        <v>6</v>
      </c>
      <c r="P44" s="6" t="str">
        <f>IF(H44="","Pending buy",IF(N44&gt;=0,"In profit","In loss"))</f>
        <v>In profit</v>
      </c>
      <c r="Q44" s="6" t="n">
        <v>3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8" t="n">
        <v>46318</v>
      </c>
      <c r="H45" s="9" t="n">
        <v>269.53</v>
      </c>
      <c r="I45" s="6">
        <f>IF(H45="","",ROUNDDOWN($B$1/H45,0))</f>
        <v>371</v>
      </c>
      <c r="J45" s="9">
        <f>IF(H45="","",H45*I45)</f>
        <v>99997.44</v>
      </c>
      <c r="K45" s="9" t="n">
        <v>252.35</v>
      </c>
      <c r="L45" s="9">
        <f>IF(OR(I45="",K45=""),"",K45*I45)</f>
        <v>93621.85</v>
      </c>
      <c r="M45" s="9">
        <f>IF(L45="","",L45-J45)</f>
        <v>-6375.59</v>
      </c>
      <c r="N45" s="10">
        <f>IF(OR(H45="",K45=""),"",K45/H45-1)</f>
        <v>-0.06375750889851461</v>
      </c>
      <c r="O45" s="6">
        <f>IF(G45="","",$B$3-G45)</f>
        <v>6</v>
      </c>
      <c r="P45" s="6" t="str">
        <f>IF(H45="","Pending buy",IF(N45&gt;=0,"In profit","In loss"))</f>
        <v>In loss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8" t="n">
        <v>46318</v>
      </c>
      <c r="H46" s="9" t="n">
        <v>359.25</v>
      </c>
      <c r="I46" s="6">
        <f>IF(H46="","",ROUNDDOWN($B$1/H46,0))</f>
        <v>278</v>
      </c>
      <c r="J46" s="9">
        <f>IF(H46="","",H46*I46)</f>
        <v>99870.37</v>
      </c>
      <c r="K46" s="9" t="n">
        <v>357.15</v>
      </c>
      <c r="L46" s="9">
        <f>IF(OR(I46="",K46=""),"",K46*I46)</f>
        <v>99287.7</v>
      </c>
      <c r="M46" s="9">
        <f>IF(L46="","",L46-J46)</f>
        <v>-582.67</v>
      </c>
      <c r="N46" s="10">
        <f>IF(OR(H46="",K46=""),"",K46/H46-1)</f>
        <v>-0.005834215212989657</v>
      </c>
      <c r="O46" s="6">
        <f>IF(G46="","",$B$3-G46)</f>
        <v>6</v>
      </c>
      <c r="P46" s="6" t="str">
        <f>IF(H46="","Pending buy",IF(N46&gt;=0,"In profit","In loss"))</f>
        <v>In loss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8" t="n">
        <v>46318</v>
      </c>
      <c r="H47" s="9" t="n">
        <v>577.79</v>
      </c>
      <c r="I47" s="6">
        <f>IF(H47="","",ROUNDDOWN($B$1/H47,0))</f>
        <v>173</v>
      </c>
      <c r="J47" s="9">
        <f>IF(H47="","",H47*I47)</f>
        <v>99957.4</v>
      </c>
      <c r="K47" s="9" t="n">
        <v>567.75</v>
      </c>
      <c r="L47" s="9">
        <f>IF(OR(I47="",K47=""),"",K47*I47)</f>
        <v>98220.75</v>
      </c>
      <c r="M47" s="9">
        <f>IF(L47="","",L47-J47)</f>
        <v>-1736.65</v>
      </c>
      <c r="N47" s="10">
        <f>IF(OR(H47="",K47=""),"",K47/H47-1)</f>
        <v>-0.017373890556926508</v>
      </c>
      <c r="O47" s="6">
        <f>IF(G47="","",$B$3-G47)</f>
        <v>6</v>
      </c>
      <c r="P47" s="6" t="str">
        <f>IF(H47="","Pending buy",IF(N47&gt;=0,"In profit","In loss"))</f>
        <v>In loss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8" t="n">
        <v>46318</v>
      </c>
      <c r="H48" s="9" t="n">
        <v>179.47</v>
      </c>
      <c r="I48" s="6">
        <f>IF(H48="","",ROUNDDOWN($B$1/H48,0))</f>
        <v>557</v>
      </c>
      <c r="J48" s="9">
        <f>IF(H48="","",H48*I48)</f>
        <v>99965.44</v>
      </c>
      <c r="K48" s="9" t="n">
        <v>186.5</v>
      </c>
      <c r="L48" s="9">
        <f>IF(OR(I48="",K48=""),"",K48*I48)</f>
        <v>103880.5</v>
      </c>
      <c r="M48" s="9">
        <f>IF(L48="","",L48-J48)</f>
        <v>3915.06</v>
      </c>
      <c r="N48" s="10">
        <f>IF(OR(H48="",K48=""),"",K48/H48-1)</f>
        <v>0.03916411176700918</v>
      </c>
      <c r="O48" s="6">
        <f>IF(G48="","",$B$3-G48)</f>
        <v>6</v>
      </c>
      <c r="P48" s="6" t="str">
        <f>IF(H48="","Pending buy",IF(N48&gt;=0,"In profit","In loss"))</f>
        <v>In profit</v>
      </c>
      <c r="Q48" s="6" t="n">
        <v>3</v>
      </c>
    </row>
    <row r="49">
      <c r="A49" s="6" t="n">
        <v>42</v>
      </c>
      <c r="B49" s="7" t="inlineStr">
        <is>
          <t>Sterlite Technologies Limited</t>
        </is>
      </c>
      <c r="C49" s="6" t="inlineStr">
        <is>
          <t>STLTECH</t>
        </is>
      </c>
      <c r="D49" s="6" t="inlineStr">
        <is>
          <t>5★</t>
        </is>
      </c>
      <c r="E49" s="6" t="inlineStr">
        <is>
          <t>231026</t>
        </is>
      </c>
      <c r="F49" s="8" t="n">
        <v>46318</v>
      </c>
      <c r="G49" s="8" t="n">
        <v>46321</v>
      </c>
      <c r="H49" s="9" t="n">
        <v>833.21</v>
      </c>
      <c r="I49" s="6">
        <f>IF(H49="","",ROUNDDOWN($B$1/H49,0))</f>
        <v>120</v>
      </c>
      <c r="J49" s="9">
        <f>IF(H49="","",H49*I49)</f>
        <v>99985.7</v>
      </c>
      <c r="K49" s="9" t="n">
        <v>867.85</v>
      </c>
      <c r="L49" s="9">
        <f>IF(OR(I49="",K49=""),"",K49*I49)</f>
        <v>104142.0</v>
      </c>
      <c r="M49" s="9">
        <f>IF(L49="","",L49-J49)</f>
        <v>4156.3</v>
      </c>
      <c r="N49" s="10">
        <f>IF(OR(H49="",K49=""),"",K49/H49-1)</f>
        <v>0.04156897894407918</v>
      </c>
      <c r="O49" s="6">
        <f>IF(G49="","",$B$3-G49)</f>
        <v>3</v>
      </c>
      <c r="P49" s="6" t="str">
        <f>IF(H49="","Pending buy",IF(N49&gt;=0,"In profit","In loss"))</f>
        <v>In profit</v>
      </c>
      <c r="Q49" s="6" t="n">
        <v>1</v>
      </c>
    </row>
    <row r="50">
      <c r="A50" s="6" t="n">
        <v>43</v>
      </c>
      <c r="B50" s="7" t="inlineStr">
        <is>
          <t>Filatex India Limited</t>
        </is>
      </c>
      <c r="C50" s="6" t="inlineStr">
        <is>
          <t>FILATEX</t>
        </is>
      </c>
      <c r="D50" s="6" t="inlineStr">
        <is>
          <t>5★</t>
        </is>
      </c>
      <c r="E50" s="6" t="inlineStr">
        <is>
          <t>261026</t>
        </is>
      </c>
      <c r="F50" s="8" t="n">
        <v>46321</v>
      </c>
      <c r="G50" s="8" t="n">
        <v>46322</v>
      </c>
      <c r="H50" s="9" t="n">
        <v>96.12</v>
      </c>
      <c r="I50" s="6">
        <f>IF(H50="","",ROUNDDOWN($B$1/H50,0))</f>
        <v>1040</v>
      </c>
      <c r="J50" s="9">
        <f>IF(H50="","",H50*I50)</f>
        <v>99961.35</v>
      </c>
      <c r="K50" s="9" t="n">
        <v>93.76000000000001</v>
      </c>
      <c r="L50" s="9">
        <f>IF(OR(I50="",K50=""),"",K50*I50)</f>
        <v>97510.4</v>
      </c>
      <c r="M50" s="9">
        <f>IF(L50="","",L50-J50)</f>
        <v>-2450.95</v>
      </c>
      <c r="N50" s="10">
        <f>IF(OR(H50="",K50=""),"",K50/H50-1)</f>
        <v>-0.024518959409345342</v>
      </c>
      <c r="O50" s="6">
        <f>IF(G50="","",$B$3-G50)</f>
        <v>2</v>
      </c>
      <c r="P50" s="6" t="str">
        <f>IF(H50="","Pending buy",IF(N50&gt;=0,"In profit","In loss"))</f>
        <v>In loss</v>
      </c>
      <c r="Q50" s="6" t="n">
        <v>1</v>
      </c>
    </row>
    <row r="51">
      <c r="A51" s="6" t="n">
        <v>44</v>
      </c>
      <c r="B51" s="7" t="inlineStr">
        <is>
          <t>Gland Pharma Limited</t>
        </is>
      </c>
      <c r="C51" s="6" t="inlineStr">
        <is>
          <t>GLAND</t>
        </is>
      </c>
      <c r="D51" s="6" t="inlineStr">
        <is>
          <t>5★</t>
        </is>
      </c>
      <c r="E51" s="6" t="inlineStr">
        <is>
          <t>261026</t>
        </is>
      </c>
      <c r="F51" s="8" t="n">
        <v>46321</v>
      </c>
      <c r="G51" s="8" t="n">
        <v>46322</v>
      </c>
      <c r="H51" s="9" t="n">
        <v>2965.99</v>
      </c>
      <c r="I51" s="6">
        <f>IF(H51="","",ROUNDDOWN($B$1/H51,0))</f>
        <v>33</v>
      </c>
      <c r="J51" s="9">
        <f>IF(H51="","",H51*I51)</f>
        <v>97877.65</v>
      </c>
      <c r="K51" s="9" t="n">
        <v>3074.5</v>
      </c>
      <c r="L51" s="9">
        <f>IF(OR(I51="",K51=""),"",K51*I51)</f>
        <v>101458.5</v>
      </c>
      <c r="M51" s="9">
        <f>IF(L51="","",L51-J51)</f>
        <v>3580.85</v>
      </c>
      <c r="N51" s="10">
        <f>IF(OR(H51="",K51=""),"",K51/H51-1)</f>
        <v>0.036584993748965955</v>
      </c>
      <c r="O51" s="6">
        <f>IF(G51="","",$B$3-G51)</f>
        <v>2</v>
      </c>
      <c r="P51" s="6" t="str">
        <f>IF(H51="","Pending buy",IF(N51&gt;=0,"In profit","In loss"))</f>
        <v>In profit</v>
      </c>
      <c r="Q51" s="6" t="n">
        <v>1</v>
      </c>
    </row>
    <row r="52">
      <c r="A52" s="6" t="n">
        <v>45</v>
      </c>
      <c r="B52" s="7" t="inlineStr">
        <is>
          <t>Shilpa Medicare Limited</t>
        </is>
      </c>
      <c r="C52" s="6" t="inlineStr">
        <is>
          <t>SHILPAMED</t>
        </is>
      </c>
      <c r="D52" s="6" t="inlineStr">
        <is>
          <t>5★</t>
        </is>
      </c>
      <c r="E52" s="6" t="inlineStr">
        <is>
          <t>261026</t>
        </is>
      </c>
      <c r="F52" s="8" t="n">
        <v>46321</v>
      </c>
      <c r="G52" s="8" t="n">
        <v>46322</v>
      </c>
      <c r="H52" s="9" t="n">
        <v>911.54</v>
      </c>
      <c r="I52" s="6">
        <f>IF(H52="","",ROUNDDOWN($B$1/H52,0))</f>
        <v>109</v>
      </c>
      <c r="J52" s="9">
        <f>IF(H52="","",H52*I52)</f>
        <v>99357.46</v>
      </c>
      <c r="K52" s="9" t="n">
        <v>935.6</v>
      </c>
      <c r="L52" s="9">
        <f>IF(OR(I52="",K52=""),"",K52*I52)</f>
        <v>101980.4</v>
      </c>
      <c r="M52" s="9">
        <f>IF(L52="","",L52-J52)</f>
        <v>2622.94</v>
      </c>
      <c r="N52" s="10">
        <f>IF(OR(H52="",K52=""),"",K52/H52-1)</f>
        <v>0.026399049372809014</v>
      </c>
      <c r="O52" s="6">
        <f>IF(G52="","",$B$3-G52)</f>
        <v>2</v>
      </c>
      <c r="P52" s="6" t="str">
        <f>IF(H52="","Pending buy",IF(N52&gt;=0,"In profit","In loss"))</f>
        <v>In profit</v>
      </c>
      <c r="Q52" s="6" t="n">
        <v>1</v>
      </c>
    </row>
    <row r="53">
      <c r="A53" s="6" t="n">
        <v>46</v>
      </c>
      <c r="B53" s="7" t="inlineStr">
        <is>
          <t>Sona BLW Precision Forgings Limited</t>
        </is>
      </c>
      <c r="C53" s="6" t="inlineStr">
        <is>
          <t>SONACOMS</t>
        </is>
      </c>
      <c r="D53" s="6" t="inlineStr">
        <is>
          <t>5★</t>
        </is>
      </c>
      <c r="E53" s="6" t="inlineStr">
        <is>
          <t>261026</t>
        </is>
      </c>
      <c r="F53" s="8" t="n">
        <v>46321</v>
      </c>
      <c r="G53" s="8" t="n">
        <v>46322</v>
      </c>
      <c r="H53" s="9" t="n">
        <v>845.3099999999999</v>
      </c>
      <c r="I53" s="6">
        <f>IF(H53="","",ROUNDDOWN($B$1/H53,0))</f>
        <v>118</v>
      </c>
      <c r="J53" s="9">
        <f>IF(H53="","",H53*I53)</f>
        <v>99747.01</v>
      </c>
      <c r="K53" s="9" t="n">
        <v>873.6</v>
      </c>
      <c r="L53" s="9">
        <f>IF(OR(I53="",K53=""),"",K53*I53)</f>
        <v>103084.8</v>
      </c>
      <c r="M53" s="9">
        <f>IF(L53="","",L53-J53)</f>
        <v>3337.79</v>
      </c>
      <c r="N53" s="10">
        <f>IF(OR(H53="",K53=""),"",K53/H53-1)</f>
        <v>0.03346255945080334</v>
      </c>
      <c r="O53" s="6">
        <f>IF(G53="","",$B$3-G53)</f>
        <v>2</v>
      </c>
      <c r="P53" s="6" t="str">
        <f>IF(H53="","Pending buy",IF(N53&gt;=0,"In profit","In loss"))</f>
        <v>In profit</v>
      </c>
      <c r="Q53" s="6" t="n">
        <v>1</v>
      </c>
    </row>
    <row r="54">
      <c r="A54" s="6" t="n">
        <v>47</v>
      </c>
      <c r="B54" s="7" t="inlineStr">
        <is>
          <t>Alivus Life Sciences Limited</t>
        </is>
      </c>
      <c r="C54" s="6" t="inlineStr">
        <is>
          <t>ALIVUS</t>
        </is>
      </c>
      <c r="D54" s="6" t="inlineStr">
        <is>
          <t>5★</t>
        </is>
      </c>
      <c r="E54" s="6" t="inlineStr">
        <is>
          <t>271026</t>
        </is>
      </c>
      <c r="F54" s="8" t="n">
        <v>46322</v>
      </c>
      <c r="G54" s="8" t="n">
        <v>46323</v>
      </c>
      <c r="H54" s="9" t="n">
        <v>1384.88</v>
      </c>
      <c r="I54" s="6">
        <f>IF(H54="","",ROUNDDOWN($B$1/H54,0))</f>
        <v>72</v>
      </c>
      <c r="J54" s="9">
        <f>IF(H54="","",H54*I54)</f>
        <v>99711.32</v>
      </c>
      <c r="K54" s="9" t="n">
        <v>1397.4</v>
      </c>
      <c r="L54" s="9">
        <f>IF(OR(I54="",K54=""),"",K54*I54)</f>
        <v>100612.8</v>
      </c>
      <c r="M54" s="9">
        <f>IF(L54="","",L54-J54)</f>
        <v>901.48</v>
      </c>
      <c r="N54" s="10">
        <f>IF(OR(H54="",K54=""),"",K54/H54-1)</f>
        <v>0.009040924364670966</v>
      </c>
      <c r="O54" s="6">
        <f>IF(G54="","",$B$3-G54)</f>
        <v>1</v>
      </c>
      <c r="P54" s="6" t="str">
        <f>IF(H54="","Pending buy",IF(N54&gt;=0,"In profit","In loss"))</f>
        <v>In profit</v>
      </c>
      <c r="Q54" s="6" t="n">
        <v>1</v>
      </c>
    </row>
    <row r="55">
      <c r="A55" s="6" t="n">
        <v>48</v>
      </c>
      <c r="B55" s="7" t="inlineStr">
        <is>
          <t>KDDL Limited</t>
        </is>
      </c>
      <c r="C55" s="6" t="inlineStr">
        <is>
          <t>KDDL</t>
        </is>
      </c>
      <c r="D55" s="6" t="inlineStr">
        <is>
          <t>5★</t>
        </is>
      </c>
      <c r="E55" s="6" t="inlineStr">
        <is>
          <t>271026</t>
        </is>
      </c>
      <c r="F55" s="8" t="n">
        <v>46322</v>
      </c>
      <c r="G55" s="8" t="n">
        <v>46323</v>
      </c>
      <c r="H55" s="9" t="n">
        <v>3780.05</v>
      </c>
      <c r="I55" s="6">
        <f>IF(H55="","",ROUNDDOWN($B$1/H55,0))</f>
        <v>26</v>
      </c>
      <c r="J55" s="9">
        <f>IF(H55="","",H55*I55)</f>
        <v>98281.27</v>
      </c>
      <c r="K55" s="9" t="n">
        <v>3860.2</v>
      </c>
      <c r="L55" s="9">
        <f>IF(OR(I55="",K55=""),"",K55*I55)</f>
        <v>100365.2</v>
      </c>
      <c r="M55" s="9">
        <f>IF(L55="","",L55-J55)</f>
        <v>2083.93</v>
      </c>
      <c r="N55" s="10">
        <f>IF(OR(H55="",K55=""),"",K55/H55-1)</f>
        <v>0.021203697443619163</v>
      </c>
      <c r="O55" s="6">
        <f>IF(G55="","",$B$3-G55)</f>
        <v>1</v>
      </c>
      <c r="P55" s="6" t="str">
        <f>IF(H55="","Pending buy",IF(N55&gt;=0,"In profit","In loss"))</f>
        <v>In profit</v>
      </c>
      <c r="Q55" s="6" t="n">
        <v>1</v>
      </c>
    </row>
    <row r="56">
      <c r="A56" s="6" t="n">
        <v>49</v>
      </c>
      <c r="B56" s="7" t="inlineStr">
        <is>
          <t>Kovai Medical Center &amp; Hospital Limited</t>
        </is>
      </c>
      <c r="C56" s="6" t="inlineStr">
        <is>
          <t>KOVAI</t>
        </is>
      </c>
      <c r="D56" s="6" t="inlineStr">
        <is>
          <t>5★</t>
        </is>
      </c>
      <c r="E56" s="6" t="inlineStr">
        <is>
          <t>271026</t>
        </is>
      </c>
      <c r="F56" s="8" t="n">
        <v>46322</v>
      </c>
      <c r="G56" s="8" t="n">
        <v>46323</v>
      </c>
      <c r="H56" s="9" t="n">
        <v>5931.66</v>
      </c>
      <c r="I56" s="6">
        <f>IF(H56="","",ROUNDDOWN($B$1/H56,0))</f>
        <v>16</v>
      </c>
      <c r="J56" s="9">
        <f>IF(H56="","",H56*I56)</f>
        <v>94906.63</v>
      </c>
      <c r="K56" s="9" t="n">
        <v>5896</v>
      </c>
      <c r="L56" s="9">
        <f>IF(OR(I56="",K56=""),"",K56*I56)</f>
        <v>94336.0</v>
      </c>
      <c r="M56" s="9">
        <f>IF(L56="","",L56-J56)</f>
        <v>-570.63</v>
      </c>
      <c r="N56" s="10">
        <f>IF(OR(H56="",K56=""),"",K56/H56-1)</f>
        <v>-0.006012550173880915</v>
      </c>
      <c r="O56" s="6">
        <f>IF(G56="","",$B$3-G56)</f>
        <v>1</v>
      </c>
      <c r="P56" s="6" t="str">
        <f>IF(H56="","Pending buy",IF(N56&gt;=0,"In profit","In loss"))</f>
        <v>In loss</v>
      </c>
      <c r="Q56" s="6" t="n">
        <v>1</v>
      </c>
    </row>
    <row r="57">
      <c r="A57" s="6" t="n">
        <v>50</v>
      </c>
      <c r="B57" s="7" t="inlineStr">
        <is>
          <t>Marine Electricals (India) Limited</t>
        </is>
      </c>
      <c r="C57" s="6" t="inlineStr">
        <is>
          <t>MARINE</t>
        </is>
      </c>
      <c r="D57" s="6" t="inlineStr">
        <is>
          <t>5★</t>
        </is>
      </c>
      <c r="E57" s="6" t="inlineStr">
        <is>
          <t>271026</t>
        </is>
      </c>
      <c r="F57" s="8" t="n">
        <v>46322</v>
      </c>
      <c r="G57" s="8" t="n">
        <v>46323</v>
      </c>
      <c r="H57" s="9" t="n">
        <v>424.61</v>
      </c>
      <c r="I57" s="6">
        <f>IF(H57="","",ROUNDDOWN($B$1/H57,0))</f>
        <v>235</v>
      </c>
      <c r="J57" s="9">
        <f>IF(H57="","",H57*I57)</f>
        <v>99783.3</v>
      </c>
      <c r="K57" s="9" t="n">
        <v>420.8</v>
      </c>
      <c r="L57" s="9">
        <f>IF(OR(I57="",K57=""),"",K57*I57)</f>
        <v>98888.0</v>
      </c>
      <c r="M57" s="9">
        <f>IF(L57="","",L57-J57)</f>
        <v>-895.3</v>
      </c>
      <c r="N57" s="10">
        <f>IF(OR(H57="",K57=""),"",K57/H57-1)</f>
        <v>-0.008972414730678335</v>
      </c>
      <c r="O57" s="6">
        <f>IF(G57="","",$B$3-G57)</f>
        <v>1</v>
      </c>
      <c r="P57" s="6" t="str">
        <f>IF(H57="","Pending buy",IF(N57&gt;=0,"In profit","In loss"))</f>
        <v>In loss</v>
      </c>
      <c r="Q57" s="6" t="n">
        <v>1</v>
      </c>
    </row>
    <row r="58">
      <c r="A58" s="6" t="n">
        <v>51</v>
      </c>
      <c r="B58" s="7" t="inlineStr">
        <is>
          <t>Paisalo Digital Limited</t>
        </is>
      </c>
      <c r="C58" s="6" t="inlineStr">
        <is>
          <t>PAISALO</t>
        </is>
      </c>
      <c r="D58" s="6" t="inlineStr">
        <is>
          <t>5★</t>
        </is>
      </c>
      <c r="E58" s="6" t="inlineStr">
        <is>
          <t>271026</t>
        </is>
      </c>
      <c r="F58" s="8" t="n">
        <v>46322</v>
      </c>
      <c r="G58" s="8" t="n">
        <v>46323</v>
      </c>
      <c r="H58" s="9" t="n">
        <v>78.53</v>
      </c>
      <c r="I58" s="6">
        <f>IF(H58="","",ROUNDDOWN($B$1/H58,0))</f>
        <v>1273</v>
      </c>
      <c r="J58" s="9">
        <f>IF(H58="","",H58*I58)</f>
        <v>99967.09</v>
      </c>
      <c r="K58" s="9" t="n">
        <v>79.40000000000001</v>
      </c>
      <c r="L58" s="9">
        <f>IF(OR(I58="",K58=""),"",K58*I58)</f>
        <v>101076.2</v>
      </c>
      <c r="M58" s="9">
        <f>IF(L58="","",L58-J58)</f>
        <v>1109.11</v>
      </c>
      <c r="N58" s="10">
        <f>IF(OR(H58="",K58=""),"",K58/H58-1)</f>
        <v>0.011094765786519467</v>
      </c>
      <c r="O58" s="6">
        <f>IF(G58="","",$B$3-G58)</f>
        <v>1</v>
      </c>
      <c r="P58" s="6" t="str">
        <f>IF(H58="","Pending buy",IF(N58&gt;=0,"In profit","In loss"))</f>
        <v>In profit</v>
      </c>
      <c r="Q58" s="6" t="n">
        <v>1</v>
      </c>
    </row>
    <row r="59">
      <c r="A59" s="6" t="n">
        <v>52</v>
      </c>
      <c r="B59" s="7" t="inlineStr">
        <is>
          <t>Cemindia Projects Limited</t>
        </is>
      </c>
      <c r="C59" s="6" t="inlineStr">
        <is>
          <t>CEMPRO</t>
        </is>
      </c>
      <c r="D59" s="6" t="inlineStr">
        <is>
          <t>4★</t>
        </is>
      </c>
      <c r="E59" s="6" t="inlineStr">
        <is>
          <t>291026</t>
        </is>
      </c>
      <c r="F59" s="8" t="n">
        <v>46324</v>
      </c>
      <c r="G59" s="6" t="inlineStr"/>
      <c r="H59" s="9" t="inlineStr"/>
      <c r="I59" s="6" t="str">
        <f>IF(H59="","",ROUNDDOWN($B$1/H59,0))</f>
        <v/>
      </c>
      <c r="J59" s="9" t="str">
        <f>IF(H59="","",H59*I59)</f>
        <v/>
      </c>
      <c r="K59" s="9" t="n">
        <v>1287.4</v>
      </c>
      <c r="L59" s="9" t="str">
        <f>IF(OR(I59="",K59=""),"",K59*I59)</f>
        <v/>
      </c>
      <c r="M59" s="9" t="str">
        <f>IF(L59="","",L59-J59)</f>
        <v/>
      </c>
      <c r="N59" s="10" t="str">
        <f>IF(OR(H59="",K59=""),"",K59/H59-1)</f>
        <v/>
      </c>
      <c r="O59" s="6" t="str">
        <f>IF(G59="","",$B$3-G59)</f>
        <v/>
      </c>
      <c r="P59" s="6" t="str">
        <f>IF(H59="","Pending buy",IF(N59&gt;=0,"In profit","In loss"))</f>
        <v>Pending buy</v>
      </c>
      <c r="Q59" s="6" t="n">
        <v>1</v>
      </c>
    </row>
    <row r="60">
      <c r="A60" s="6" t="n">
        <v>53</v>
      </c>
      <c r="B60" s="7" t="inlineStr">
        <is>
          <t>Diamond Power Infrastructure Limited</t>
        </is>
      </c>
      <c r="C60" s="6" t="inlineStr">
        <is>
          <t>DIACABS</t>
        </is>
      </c>
      <c r="D60" s="6" t="inlineStr">
        <is>
          <t>5★</t>
        </is>
      </c>
      <c r="E60" s="6" t="inlineStr">
        <is>
          <t>291026</t>
        </is>
      </c>
      <c r="F60" s="8" t="n">
        <v>46324</v>
      </c>
      <c r="G60" s="6" t="inlineStr"/>
      <c r="H60" s="9" t="inlineStr"/>
      <c r="I60" s="6" t="str">
        <f>IF(H60="","",ROUNDDOWN($B$1/H60,0))</f>
        <v/>
      </c>
      <c r="J60" s="9" t="str">
        <f>IF(H60="","",H60*I60)</f>
        <v/>
      </c>
      <c r="K60" s="9" t="n">
        <v>341.65</v>
      </c>
      <c r="L60" s="9" t="str">
        <f>IF(OR(I60="",K60=""),"",K60*I60)</f>
        <v/>
      </c>
      <c r="M60" s="9" t="str">
        <f>IF(L60="","",L60-J60)</f>
        <v/>
      </c>
      <c r="N60" s="10" t="str">
        <f>IF(OR(H60="",K60=""),"",K60/H60-1)</f>
        <v/>
      </c>
      <c r="O60" s="6" t="str">
        <f>IF(G60="","",$B$3-G60)</f>
        <v/>
      </c>
      <c r="P60" s="6" t="str">
        <f>IF(H60="","Pending buy",IF(N60&gt;=0,"In profit","In loss"))</f>
        <v>Pending buy</v>
      </c>
      <c r="Q60" s="6" t="n">
        <v>2</v>
      </c>
    </row>
  </sheetData>
  <conditionalFormatting sqref="A8:Q60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  <row r="50">
      <c r="A50" s="8" t="n">
        <v>46318</v>
      </c>
      <c r="B50" s="6" t="inlineStr">
        <is>
          <t>5★</t>
        </is>
      </c>
      <c r="C50" s="6" t="inlineStr">
        <is>
          <t>STLTECH</t>
        </is>
      </c>
      <c r="D50" s="11" t="inlineStr">
        <is>
          <t>Sterlite Technologies Limited</t>
        </is>
      </c>
    </row>
    <row r="51">
      <c r="A51" s="8" t="n">
        <v>46321</v>
      </c>
      <c r="B51" s="6" t="inlineStr">
        <is>
          <t>5★</t>
        </is>
      </c>
      <c r="C51" s="6" t="inlineStr">
        <is>
          <t>ATHERENERG</t>
        </is>
      </c>
      <c r="D51" s="11" t="inlineStr">
        <is>
          <t>Ather Energy Limited</t>
        </is>
      </c>
    </row>
    <row r="52">
      <c r="A52" s="8" t="n">
        <v>46321</v>
      </c>
      <c r="B52" s="6" t="inlineStr">
        <is>
          <t>5★</t>
        </is>
      </c>
      <c r="C52" s="6" t="inlineStr">
        <is>
          <t>FILATEX</t>
        </is>
      </c>
      <c r="D52" s="11" t="inlineStr">
        <is>
          <t>Filatex India Limited</t>
        </is>
      </c>
    </row>
    <row r="53">
      <c r="A53" s="8" t="n">
        <v>46321</v>
      </c>
      <c r="B53" s="6" t="inlineStr">
        <is>
          <t>5★</t>
        </is>
      </c>
      <c r="C53" s="6" t="inlineStr">
        <is>
          <t>GLAND</t>
        </is>
      </c>
      <c r="D53" s="11" t="inlineStr">
        <is>
          <t>Gland Pharma Limited</t>
        </is>
      </c>
    </row>
    <row r="54">
      <c r="A54" s="8" t="n">
        <v>46321</v>
      </c>
      <c r="B54" s="6" t="inlineStr">
        <is>
          <t>5★</t>
        </is>
      </c>
      <c r="C54" s="6" t="inlineStr">
        <is>
          <t>INDSWFTLAB</t>
        </is>
      </c>
      <c r="D54" s="11" t="inlineStr">
        <is>
          <t>Ind-Swift Laboratories Limited</t>
        </is>
      </c>
    </row>
    <row r="55">
      <c r="A55" s="8" t="n">
        <v>46321</v>
      </c>
      <c r="B55" s="6" t="inlineStr">
        <is>
          <t>5★</t>
        </is>
      </c>
      <c r="C55" s="6" t="inlineStr">
        <is>
          <t>KAPSTON</t>
        </is>
      </c>
      <c r="D55" s="11" t="inlineStr">
        <is>
          <t>Kapston Services Limited</t>
        </is>
      </c>
    </row>
    <row r="56">
      <c r="A56" s="8" t="n">
        <v>46321</v>
      </c>
      <c r="B56" s="6" t="inlineStr">
        <is>
          <t>5★</t>
        </is>
      </c>
      <c r="C56" s="6" t="inlineStr">
        <is>
          <t>SHILPAMED</t>
        </is>
      </c>
      <c r="D56" s="11" t="inlineStr">
        <is>
          <t>Shilpa Medicare Limited</t>
        </is>
      </c>
    </row>
    <row r="57">
      <c r="A57" s="8" t="n">
        <v>46321</v>
      </c>
      <c r="B57" s="6" t="inlineStr">
        <is>
          <t>5★</t>
        </is>
      </c>
      <c r="C57" s="6" t="inlineStr">
        <is>
          <t>SONACOMS</t>
        </is>
      </c>
      <c r="D57" s="11" t="inlineStr">
        <is>
          <t>Sona BLW Precision Forgings Limited</t>
        </is>
      </c>
    </row>
    <row r="58">
      <c r="A58" s="8" t="n">
        <v>46322</v>
      </c>
      <c r="B58" s="6" t="inlineStr">
        <is>
          <t>4★</t>
        </is>
      </c>
      <c r="C58" s="6" t="inlineStr">
        <is>
          <t>UNIONBANK</t>
        </is>
      </c>
      <c r="D58" s="11" t="inlineStr">
        <is>
          <t>Union Bank of India</t>
        </is>
      </c>
    </row>
    <row r="59">
      <c r="A59" s="8" t="n">
        <v>46322</v>
      </c>
      <c r="B59" s="6" t="inlineStr">
        <is>
          <t>5★</t>
        </is>
      </c>
      <c r="C59" s="6" t="inlineStr">
        <is>
          <t>ALIVUS</t>
        </is>
      </c>
      <c r="D59" s="11" t="inlineStr">
        <is>
          <t>Alivus Life Sciences Limited</t>
        </is>
      </c>
    </row>
    <row r="60">
      <c r="A60" s="8" t="n">
        <v>46322</v>
      </c>
      <c r="B60" s="6" t="inlineStr">
        <is>
          <t>5★</t>
        </is>
      </c>
      <c r="C60" s="6" t="inlineStr">
        <is>
          <t>INDSWFTLAB</t>
        </is>
      </c>
      <c r="D60" s="11" t="inlineStr">
        <is>
          <t>Ind-Swift Laboratories Limited</t>
        </is>
      </c>
    </row>
    <row r="61">
      <c r="A61" s="8" t="n">
        <v>46322</v>
      </c>
      <c r="B61" s="6" t="inlineStr">
        <is>
          <t>5★</t>
        </is>
      </c>
      <c r="C61" s="6" t="inlineStr">
        <is>
          <t>KDDL</t>
        </is>
      </c>
      <c r="D61" s="11" t="inlineStr">
        <is>
          <t>KDDL Limited</t>
        </is>
      </c>
    </row>
    <row r="62">
      <c r="A62" s="8" t="n">
        <v>46322</v>
      </c>
      <c r="B62" s="6" t="inlineStr">
        <is>
          <t>5★</t>
        </is>
      </c>
      <c r="C62" s="6" t="inlineStr">
        <is>
          <t>KOVAI</t>
        </is>
      </c>
      <c r="D62" s="11" t="inlineStr">
        <is>
          <t>Kovai Medical Center &amp; Hospital Limited</t>
        </is>
      </c>
    </row>
    <row r="63">
      <c r="A63" s="8" t="n">
        <v>46322</v>
      </c>
      <c r="B63" s="6" t="inlineStr">
        <is>
          <t>5★</t>
        </is>
      </c>
      <c r="C63" s="6" t="inlineStr">
        <is>
          <t>MARINE</t>
        </is>
      </c>
      <c r="D63" s="11" t="inlineStr">
        <is>
          <t>Marine Electricals (India) Limited</t>
        </is>
      </c>
    </row>
    <row r="64">
      <c r="A64" s="8" t="n">
        <v>46322</v>
      </c>
      <c r="B64" s="6" t="inlineStr">
        <is>
          <t>5★</t>
        </is>
      </c>
      <c r="C64" s="6" t="inlineStr">
        <is>
          <t>PAISALO</t>
        </is>
      </c>
      <c r="D64" s="11" t="inlineStr">
        <is>
          <t>Paisalo Digital Limited</t>
        </is>
      </c>
    </row>
    <row r="65">
      <c r="A65" s="8" t="n">
        <v>46324</v>
      </c>
      <c r="B65" s="6" t="inlineStr">
        <is>
          <t>4★</t>
        </is>
      </c>
      <c r="C65" s="6" t="inlineStr">
        <is>
          <t>CEMPRO</t>
        </is>
      </c>
      <c r="D65" s="11" t="inlineStr">
        <is>
          <t>Cemindia Projects Limited</t>
        </is>
      </c>
    </row>
    <row r="66">
      <c r="A66" s="8" t="n">
        <v>46324</v>
      </c>
      <c r="B66" s="6" t="inlineStr">
        <is>
          <t>4★</t>
        </is>
      </c>
      <c r="C66" s="6" t="inlineStr">
        <is>
          <t>MANCREDIT</t>
        </is>
      </c>
      <c r="D66" s="11" t="inlineStr">
        <is>
          <t>Mangal Credit and Fincorp Limited</t>
        </is>
      </c>
    </row>
    <row r="67">
      <c r="A67" s="8" t="n">
        <v>46324</v>
      </c>
      <c r="B67" s="6" t="inlineStr">
        <is>
          <t>4★</t>
        </is>
      </c>
      <c r="C67" s="6" t="inlineStr">
        <is>
          <t>UNIONBANK</t>
        </is>
      </c>
      <c r="D67" s="11" t="inlineStr">
        <is>
          <t>Union Bank of India</t>
        </is>
      </c>
    </row>
    <row r="68">
      <c r="A68" s="8" t="n">
        <v>46324</v>
      </c>
      <c r="B68" s="6" t="inlineStr">
        <is>
          <t>5★</t>
        </is>
      </c>
      <c r="C68" s="6" t="inlineStr">
        <is>
          <t>DIACABS</t>
        </is>
      </c>
      <c r="D68" s="11" t="inlineStr">
        <is>
          <t>Diamond Power Infrastructure Limited</t>
        </is>
      </c>
    </row>
    <row r="69">
      <c r="A69" s="8" t="n">
        <v>46324</v>
      </c>
      <c r="B69" s="6" t="inlineStr">
        <is>
          <t>5★</t>
        </is>
      </c>
      <c r="C69" s="6" t="inlineStr">
        <is>
          <t>DIACABS</t>
        </is>
      </c>
      <c r="D69" s="11" t="inlineStr">
        <is>
          <t>Diamond Power Infrastructure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2026-10-29T13:31:18Z</dcterms:created>
  <dcterms:modified xsi:type="dcterms:W3CDTF">2026-10-29T13:31:18Z</dcterms:modified>
</cp:coreProperties>
</file>