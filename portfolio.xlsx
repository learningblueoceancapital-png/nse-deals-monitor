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SUM(J8:J42)</f>
        <v>3463650.69</v>
      </c>
      <c r="F1" s="1" t="inlineStr">
        <is>
          <t>Current Value</t>
        </is>
      </c>
      <c r="G1" s="2">
        <f>SUM(L8:L42)</f>
        <v>3242257.44</v>
      </c>
    </row>
    <row r="2">
      <c r="D2" s="1" t="inlineStr">
        <is>
          <t>Total P&amp;L (Rs)</t>
        </is>
      </c>
      <c r="E2" s="2">
        <f>SUM(M8:M42)</f>
        <v>-221393.25</v>
      </c>
      <c r="F2" s="1" t="inlineStr">
        <is>
          <t>Total P&amp;L %</t>
        </is>
      </c>
      <c r="G2" s="3">
        <f>IF(E1=0,"",G1/E1-1)</f>
        <v>-0.06391904664035275</v>
      </c>
    </row>
    <row r="3">
      <c r="A3" s="1" t="inlineStr">
        <is>
          <t>As-of date</t>
        </is>
      </c>
      <c r="B3" s="4" t="n">
        <v>46316</v>
      </c>
      <c r="D3" s="1" t="inlineStr">
        <is>
          <t>Winners</t>
        </is>
      </c>
      <c r="E3">
        <f>COUNTIF(M8:M42,"&gt;0")</f>
        <v>7</v>
      </c>
      <c r="F3" s="1" t="inlineStr">
        <is>
          <t>Losers</t>
        </is>
      </c>
      <c r="G3">
        <f>COUNTIF(M8:M42,"&lt;0")</f>
        <v>28</v>
      </c>
    </row>
    <row r="4">
      <c r="D4" s="1" t="inlineStr">
        <is>
          <t>Win Rate</t>
        </is>
      </c>
      <c r="E4" s="3">
        <f>IF((E3+G3)=0,"",E3/(E3+G3))</f>
        <v>0.2</v>
      </c>
      <c r="F4" s="1" t="inlineStr">
        <is>
          <t>Avg Return / Stock</t>
        </is>
      </c>
      <c r="G4" s="3">
        <f>AVERAGE(N8:N42)</f>
        <v>-0.06402909789029841</v>
      </c>
    </row>
    <row r="5">
      <c r="D5" s="1" t="inlineStr">
        <is>
          <t>Best Stock</t>
        </is>
      </c>
      <c r="E5" t="str">
        <f>INDEX(B8:B42,MATCH(MAX(N8:N42),N8:N42,0))</f>
        <v>Viji Finance Limited</v>
      </c>
      <c r="F5" s="1" t="inlineStr">
        <is>
          <t>Worst Stock</t>
        </is>
      </c>
      <c r="G5" t="str">
        <f>INDEX(B8:B42,MATCH(MIN(N8:N42),N8:N42,0))</f>
        <v>Ujaas Energy Limited</v>
      </c>
    </row>
    <row r="6">
      <c r="D6" s="1" t="inlineStr">
        <is>
          <t>Avg Return 4★*</t>
        </is>
      </c>
      <c r="E6" s="3">
        <f>AVERAGEIF(D8:D42,"4★*",N8:N42)</f>
        <v>-0.08477898089107445</v>
      </c>
      <c r="F6" s="1" t="inlineStr">
        <is>
          <t>Avg Return 5★*</t>
        </is>
      </c>
      <c r="G6" s="3">
        <f>AVERAGEIF(D8:D42,"5★*",N8:N42)</f>
        <v>-0.042058633536535536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274.3</v>
      </c>
      <c r="L8" s="9">
        <f>IF(OR(I8="",K8=""),"",K8*I8)</f>
        <v>91067.6</v>
      </c>
      <c r="M8" s="9">
        <f>IF(L8="","",L8-J8)</f>
        <v>-8783.69</v>
      </c>
      <c r="N8" s="10">
        <f>IF(OR(H8="",K8=""),"",K8/H8-1)</f>
        <v>-0.08796774835841836</v>
      </c>
      <c r="O8" s="6">
        <f>IF(G8="","",$B$3-G8)</f>
        <v>16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312.35</v>
      </c>
      <c r="L9" s="9">
        <f>IF(OR(I9="",K9=""),"",K9*I9)</f>
        <v>95579.1</v>
      </c>
      <c r="M9" s="9">
        <f>IF(L9="","",L9-J9)</f>
        <v>-4108.32</v>
      </c>
      <c r="N9" s="10">
        <f>IF(OR(H9="",K9=""),"",K9/H9-1)</f>
        <v>-0.041212022438137375</v>
      </c>
      <c r="O9" s="6">
        <f>IF(G9="","",$B$3-G9)</f>
        <v>15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1583.8</v>
      </c>
      <c r="L10" s="9">
        <f>IF(OR(I10="",K10=""),"",K10*I10)</f>
        <v>99779.4</v>
      </c>
      <c r="M10" s="9">
        <f>IF(L10="","",L10-J10)</f>
        <v>172.26</v>
      </c>
      <c r="N10" s="10">
        <f>IF(OR(H10="",K10=""),"",K10/H10-1)</f>
        <v>0.0017293847749957347</v>
      </c>
      <c r="O10" s="6">
        <f>IF(G10="","",$B$3-G10)</f>
        <v>15</v>
      </c>
      <c r="P10" s="6" t="str">
        <f>IF(H10="","Pending buy",IF(N10&gt;=0,"In profit","In loss"))</f>
        <v>In profit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66.02</v>
      </c>
      <c r="L11" s="9">
        <f>IF(OR(I11="",K11=""),"",K11*I11)</f>
        <v>82591.02</v>
      </c>
      <c r="M11" s="9">
        <f>IF(L11="","",L11-J11)</f>
        <v>-17336.21</v>
      </c>
      <c r="N11" s="10">
        <f>IF(OR(H11="",K11=""),"",K11/H11-1)</f>
        <v>-0.173488350630028</v>
      </c>
      <c r="O11" s="6">
        <f>IF(G11="","",$B$3-G11)</f>
        <v>15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18975</v>
      </c>
      <c r="L12" s="9">
        <f>IF(OR(I12="",K12=""),"",K12*I12)</f>
        <v>75900.0</v>
      </c>
      <c r="M12" s="9">
        <f>IF(L12="","",L12-J12)</f>
        <v>-10637.12</v>
      </c>
      <c r="N12" s="10">
        <f>IF(OR(H12="",K12=""),"",K12/H12-1)</f>
        <v>-0.12291969751789789</v>
      </c>
      <c r="O12" s="6">
        <f>IF(G12="","",$B$3-G12)</f>
        <v>15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1695.8</v>
      </c>
      <c r="L13" s="9">
        <f>IF(OR(I13="",K13=""),"",K13*I13)</f>
        <v>89877.4</v>
      </c>
      <c r="M13" s="9">
        <f>IF(L13="","",L13-J13)</f>
        <v>-8300.13</v>
      </c>
      <c r="N13" s="10">
        <f>IF(OR(H13="",K13=""),"",K13/H13-1)</f>
        <v>-0.08454208301040067</v>
      </c>
      <c r="O13" s="6">
        <f>IF(G13="","",$B$3-G13)</f>
        <v>15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4356.1</v>
      </c>
      <c r="L14" s="9">
        <f>IF(OR(I14="",K14=""),"",K14*I14)</f>
        <v>95834.2</v>
      </c>
      <c r="M14" s="9">
        <f>IF(L14="","",L14-J14)</f>
        <v>-1833.26</v>
      </c>
      <c r="N14" s="10">
        <f>IF(OR(H14="",K14=""),"",K14/H14-1)</f>
        <v>-0.018770469730035266</v>
      </c>
      <c r="O14" s="6">
        <f>IF(G14="","",$B$3-G14)</f>
        <v>15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1441</v>
      </c>
      <c r="L15" s="9">
        <f>IF(OR(I15="",K15=""),"",K15*I15)</f>
        <v>92224.0</v>
      </c>
      <c r="M15" s="9">
        <f>IF(L15="","",L15-J15)</f>
        <v>-6854.19</v>
      </c>
      <c r="N15" s="10">
        <f>IF(OR(H15="",K15=""),"",K15/H15-1)</f>
        <v>-0.06917958181450301</v>
      </c>
      <c r="O15" s="6">
        <f>IF(G15="","",$B$3-G15)</f>
        <v>14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1447.2</v>
      </c>
      <c r="L16" s="9">
        <f>IF(OR(I16="",K16=""),"",K16*I16)</f>
        <v>98409.6</v>
      </c>
      <c r="M16" s="9">
        <f>IF(L16="","",L16-J16)</f>
        <v>-147.94</v>
      </c>
      <c r="N16" s="10">
        <f>IF(OR(H16="",K16=""),"",K16/H16-1)</f>
        <v>-0.0015010167789245576</v>
      </c>
      <c r="O16" s="6">
        <f>IF(G16="","",$B$3-G16)</f>
        <v>14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896.8</v>
      </c>
      <c r="L17" s="9">
        <f>IF(OR(I17="",K17=""),"",K17*I17)</f>
        <v>103132.0</v>
      </c>
      <c r="M17" s="9">
        <f>IF(L17="","",L17-J17)</f>
        <v>3417.65</v>
      </c>
      <c r="N17" s="10">
        <f>IF(OR(H17="",K17=""),"",K17/H17-1)</f>
        <v>0.034274404059490005</v>
      </c>
      <c r="O17" s="6">
        <f>IF(G17="","",$B$3-G17)</f>
        <v>14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598.75</v>
      </c>
      <c r="L18" s="9">
        <f>IF(OR(I18="",K18=""),"",K18*I18)</f>
        <v>84423.75</v>
      </c>
      <c r="M18" s="9">
        <f>IF(L18="","",L18-J18)</f>
        <v>-15173.08</v>
      </c>
      <c r="N18" s="10">
        <f>IF(OR(H18="",K18=""),"",K18/H18-1)</f>
        <v>-0.15234504843064356</v>
      </c>
      <c r="O18" s="6">
        <f>IF(G18="","",$B$3-G18)</f>
        <v>14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133.92</v>
      </c>
      <c r="L19" s="9">
        <f>IF(OR(I19="",K19=""),"",K19*I19)</f>
        <v>88788.96</v>
      </c>
      <c r="M19" s="9">
        <f>IF(L19="","",L19-J19)</f>
        <v>-11204.11</v>
      </c>
      <c r="N19" s="10">
        <f>IF(OR(H19="",K19=""),"",K19/H19-1)</f>
        <v>-0.11204882315206466</v>
      </c>
      <c r="O19" s="6">
        <f>IF(G19="","",$B$3-G19)</f>
        <v>14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193.59</v>
      </c>
      <c r="L20" s="9">
        <f>IF(OR(I20="",K20=""),"",K20*I20)</f>
        <v>92342.43</v>
      </c>
      <c r="M20" s="9">
        <f>IF(L20="","",L20-J20)</f>
        <v>-7554.0</v>
      </c>
      <c r="N20" s="10">
        <f>IF(OR(H20="",K20=""),"",K20/H20-1)</f>
        <v>-0.07561831794736096</v>
      </c>
      <c r="O20" s="6">
        <f>IF(G20="","",$B$3-G20)</f>
        <v>14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1224.1</v>
      </c>
      <c r="L21" s="9">
        <f>IF(OR(I21="",K21=""),"",K21*I21)</f>
        <v>86911.1</v>
      </c>
      <c r="M21" s="9">
        <f>IF(L21="","",L21-J21)</f>
        <v>-12538.37</v>
      </c>
      <c r="N21" s="10">
        <f>IF(OR(H21="",K21=""),"",K21/H21-1)</f>
        <v>-0.1260777639194126</v>
      </c>
      <c r="O21" s="6">
        <f>IF(G21="","",$B$3-G21)</f>
        <v>14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635</v>
      </c>
      <c r="L22" s="9">
        <f>IF(OR(I22="",K22=""),"",K22*I22)</f>
        <v>91440.0</v>
      </c>
      <c r="M22" s="9">
        <f>IF(L22="","",L22-J22)</f>
        <v>-8397.05</v>
      </c>
      <c r="N22" s="10">
        <f>IF(OR(H22="",K22=""),"",K22/H22-1)</f>
        <v>-0.08410756353277193</v>
      </c>
      <c r="O22" s="6">
        <f>IF(G22="","",$B$3-G22)</f>
        <v>14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591.6</v>
      </c>
      <c r="L23" s="9">
        <f>IF(OR(I23="",K23=""),"",K23*I23)</f>
        <v>85782.0</v>
      </c>
      <c r="M23" s="9">
        <f>IF(L23="","",L23-J23)</f>
        <v>-13704.88</v>
      </c>
      <c r="N23" s="10">
        <f>IF(OR(H23="",K23=""),"",K23/H23-1)</f>
        <v>-0.13775566211414758</v>
      </c>
      <c r="O23" s="6">
        <f>IF(G23="","",$B$3-G23)</f>
        <v>14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211.53</v>
      </c>
      <c r="L24" s="9">
        <f>IF(OR(I24="",K24=""),"",K24*I24)</f>
        <v>92861.67</v>
      </c>
      <c r="M24" s="9">
        <f>IF(L24="","",L24-J24)</f>
        <v>-7073.73</v>
      </c>
      <c r="N24" s="10">
        <f>IF(OR(H24="",K24=""),"",K24/H24-1)</f>
        <v>-0.07078301284513666</v>
      </c>
      <c r="O24" s="6">
        <f>IF(G24="","",$B$3-G24)</f>
        <v>13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717.55</v>
      </c>
      <c r="L25" s="9">
        <f>IF(OR(I25="",K25=""),"",K25*I25)</f>
        <v>88976.2</v>
      </c>
      <c r="M25" s="9">
        <f>IF(L25="","",L25-J25)</f>
        <v>-10646.44</v>
      </c>
      <c r="N25" s="10">
        <f>IF(OR(H25="",K25=""),"",K25/H25-1)</f>
        <v>-0.10686764351535416</v>
      </c>
      <c r="O25" s="6">
        <f>IF(G25="","",$B$3-G25)</f>
        <v>9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171.42</v>
      </c>
      <c r="L26" s="9">
        <f>IF(OR(I26="",K26=""),"",K26*I26)</f>
        <v>81424.5</v>
      </c>
      <c r="M26" s="9">
        <f>IF(L26="","",L26-J26)</f>
        <v>-18523.67</v>
      </c>
      <c r="N26" s="10">
        <f>IF(OR(H26="",K26=""),"",K26/H26-1)</f>
        <v>-0.18533273086672153</v>
      </c>
      <c r="O26" s="6">
        <f>IF(G26="","",$B$3-G26)</f>
        <v>9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236.75</v>
      </c>
      <c r="L27" s="9">
        <f>IF(OR(I27="",K27=""),"",K27*I27)</f>
        <v>90438.5</v>
      </c>
      <c r="M27" s="9">
        <f>IF(L27="","",L27-J27)</f>
        <v>-9306.77</v>
      </c>
      <c r="N27" s="10">
        <f>IF(OR(H27="",K27=""),"",K27/H27-1)</f>
        <v>-0.09330540369298712</v>
      </c>
      <c r="O27" s="6">
        <f>IF(G27="","",$B$3-G27)</f>
        <v>8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10989</v>
      </c>
      <c r="L28" s="9">
        <f>IF(OR(I28="",K28=""),"",K28*I28)</f>
        <v>98901.0</v>
      </c>
      <c r="M28" s="9">
        <f>IF(L28="","",L28-J28)</f>
        <v>3566.16</v>
      </c>
      <c r="N28" s="10">
        <f>IF(OR(H28="",K28=""),"",K28/H28-1)</f>
        <v>0.03740665549392519</v>
      </c>
      <c r="O28" s="6">
        <f>IF(G28="","",$B$3-G28)</f>
        <v>8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1825.7</v>
      </c>
      <c r="L29" s="9">
        <f>IF(OR(I29="",K29=""),"",K29*I29)</f>
        <v>93110.7</v>
      </c>
      <c r="M29" s="9">
        <f>IF(L29="","",L29-J29)</f>
        <v>-5487.89</v>
      </c>
      <c r="N29" s="10">
        <f>IF(OR(H29="",K29=""),"",K29/H29-1)</f>
        <v>-0.05565887373234457</v>
      </c>
      <c r="O29" s="6">
        <f>IF(G29="","",$B$3-G29)</f>
        <v>8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16.66</v>
      </c>
      <c r="L30" s="9">
        <f>IF(OR(I30="",K30=""),"",K30*I30)</f>
        <v>112338.38</v>
      </c>
      <c r="M30" s="9">
        <f>IF(L30="","",L30-J30)</f>
        <v>12339.69</v>
      </c>
      <c r="N30" s="10">
        <f>IF(OR(H30="",K30=""),"",K30/H30-1)</f>
        <v>0.12339851652056644</v>
      </c>
      <c r="O30" s="6">
        <f>IF(G30="","",$B$3-G30)</f>
        <v>8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161.24</v>
      </c>
      <c r="L31" s="9">
        <f>IF(OR(I31="",K31=""),"",K31*I31)</f>
        <v>90939.36</v>
      </c>
      <c r="M31" s="9">
        <f>IF(L31="","",L31-J31)</f>
        <v>-9037.98</v>
      </c>
      <c r="N31" s="10">
        <f>IF(OR(H31="",K31=""),"",K31/H31-1)</f>
        <v>-0.0904002681096544</v>
      </c>
      <c r="O31" s="6">
        <f>IF(G31="","",$B$3-G31)</f>
        <v>7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169.68</v>
      </c>
      <c r="L32" s="9">
        <f>IF(OR(I32="",K32=""),"",K32*I32)</f>
        <v>95869.2</v>
      </c>
      <c r="M32" s="9">
        <f>IF(L32="","",L32-J32)</f>
        <v>-4054.62</v>
      </c>
      <c r="N32" s="10">
        <f>IF(OR(H32="",K32=""),"",K32/H32-1)</f>
        <v>-0.04057710847514073</v>
      </c>
      <c r="O32" s="6">
        <f>IF(G32="","",$B$3-G32)</f>
        <v>7</v>
      </c>
      <c r="P32" s="6" t="str">
        <f>IF(H32="","Pending buy",IF(N32&gt;=0,"In profit","In loss"))</f>
        <v>In loss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530.15</v>
      </c>
      <c r="L33" s="9">
        <f>IF(OR(I33="",K33=""),"",K33*I33)</f>
        <v>100198.35</v>
      </c>
      <c r="M33" s="9">
        <f>IF(L33="","",L33-J33)</f>
        <v>589.77</v>
      </c>
      <c r="N33" s="10">
        <f>IF(OR(H33="",K33=""),"",K33/H33-1)</f>
        <v>0.005920924752488954</v>
      </c>
      <c r="O33" s="6">
        <f>IF(G33="","",$B$3-G33)</f>
        <v>7</v>
      </c>
      <c r="P33" s="6" t="str">
        <f>IF(H33="","Pending buy",IF(N33&gt;=0,"In profit","In loss"))</f>
        <v>In profit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4594.1</v>
      </c>
      <c r="L34" s="9">
        <f>IF(OR(I34="",K34=""),"",K34*I34)</f>
        <v>87287.9</v>
      </c>
      <c r="M34" s="9">
        <f>IF(L34="","",L34-J34)</f>
        <v>-8742.56</v>
      </c>
      <c r="N34" s="10">
        <f>IF(OR(H34="",K34=""),"",K34/H34-1)</f>
        <v>-0.09103945413774328</v>
      </c>
      <c r="O34" s="6">
        <f>IF(G34="","",$B$3-G34)</f>
        <v>7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951.8</v>
      </c>
      <c r="L35" s="9">
        <f>IF(OR(I35="",K35=""),"",K35*I35)</f>
        <v>86613.8</v>
      </c>
      <c r="M35" s="9">
        <f>IF(L35="","",L35-J35)</f>
        <v>-12469.09</v>
      </c>
      <c r="N35" s="10">
        <f>IF(OR(H35="",K35=""),"",K35/H35-1)</f>
        <v>-0.12584506389009065</v>
      </c>
      <c r="O35" s="6">
        <f>IF(G35="","",$B$3-G35)</f>
        <v>6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93.06</v>
      </c>
      <c r="L36" s="9">
        <f>IF(OR(I36="",K36=""),"",K36*I36)</f>
        <v>95386.5</v>
      </c>
      <c r="M36" s="9">
        <f>IF(L36="","",L36-J36)</f>
        <v>-4524.07</v>
      </c>
      <c r="N36" s="10">
        <f>IF(OR(H36="",K36=""),"",K36/H36-1)</f>
        <v>-0.045281206439544364</v>
      </c>
      <c r="O36" s="6">
        <f>IF(G36="","",$B$3-G36)</f>
        <v>6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904.8</v>
      </c>
      <c r="L37" s="9">
        <f>IF(OR(I37="",K37=""),"",K37*I37)</f>
        <v>90480.0</v>
      </c>
      <c r="M37" s="9">
        <f>IF(L37="","",L37-J37)</f>
        <v>-8956.51</v>
      </c>
      <c r="N37" s="10">
        <f>IF(OR(H37="",K37=""),"",K37/H37-1)</f>
        <v>-0.09007267691504095</v>
      </c>
      <c r="O37" s="6">
        <f>IF(G37="","",$B$3-G37)</f>
        <v>6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123.9</v>
      </c>
      <c r="L38" s="9">
        <f>IF(OR(I38="",K38=""),"",K38*I38)</f>
        <v>101474.1</v>
      </c>
      <c r="M38" s="9">
        <f>IF(L38="","",L38-J38)</f>
        <v>1522.62</v>
      </c>
      <c r="N38" s="10">
        <f>IF(OR(H38="",K38=""),"",K38/H38-1)</f>
        <v>0.015233592344086722</v>
      </c>
      <c r="O38" s="6">
        <f>IF(G38="","",$B$3-G38)</f>
        <v>6</v>
      </c>
      <c r="P38" s="6" t="str">
        <f>IF(H38="","Pending buy",IF(N38&gt;=0,"In profit","In loss"))</f>
        <v>In profit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521.75</v>
      </c>
      <c r="L39" s="9">
        <f>IF(OR(I39="",K39=""),"",K39*I39)</f>
        <v>93393.25</v>
      </c>
      <c r="M39" s="9">
        <f>IF(L39="","",L39-J39)</f>
        <v>-6273.53</v>
      </c>
      <c r="N39" s="10">
        <f>IF(OR(H39="",K39=""),"",K39/H39-1)</f>
        <v>-0.06294500907647538</v>
      </c>
      <c r="O39" s="6">
        <f>IF(G39="","",$B$3-G39)</f>
        <v>2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11.67</v>
      </c>
      <c r="L40" s="9">
        <f>IF(OR(I40="",K40=""),"",K40*I40)</f>
        <v>90069.06</v>
      </c>
      <c r="M40" s="9">
        <f>IF(L40="","",L40-J40)</f>
        <v>-9929.58</v>
      </c>
      <c r="N40" s="10">
        <f>IF(OR(H40="",K40=""),"",K40/H40-1)</f>
        <v>-0.09929712759911047</v>
      </c>
      <c r="O40" s="6">
        <f>IF(G40="","",$B$3-G40)</f>
        <v>2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123.66</v>
      </c>
      <c r="L41" s="9">
        <f>IF(OR(I41="",K41=""),"",K41*I41)</f>
        <v>98309.7</v>
      </c>
      <c r="M41" s="9">
        <f>IF(L41="","",L41-J41)</f>
        <v>-1580.12</v>
      </c>
      <c r="N41" s="10">
        <f>IF(OR(H41="",K41=""),"",K41/H41-1)</f>
        <v>-0.01581861857082778</v>
      </c>
      <c r="O41" s="6">
        <f>IF(G41="","",$B$3-G41)</f>
        <v>0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94.17</v>
      </c>
      <c r="L42" s="9">
        <f>IF(OR(I42="",K42=""),"",K42*I42)</f>
        <v>100102.71</v>
      </c>
      <c r="M42" s="9">
        <f>IF(L42="","",L42-J42)</f>
        <v>177.51</v>
      </c>
      <c r="N42" s="10">
        <f>IF(OR(H42="",K42=""),"",K42/H42-1)</f>
        <v>0.0017764431349212018</v>
      </c>
      <c r="O42" s="6">
        <f>IF(G42="","",$B$3-G42)</f>
        <v>0</v>
      </c>
      <c r="P42" s="6" t="str">
        <f>IF(H42="","Pending buy",IF(N42&gt;=0,"In profit","In loss"))</f>
        <v>In profit</v>
      </c>
      <c r="Q42" s="6" t="n">
        <v>2</v>
      </c>
    </row>
  </sheetData>
  <conditionalFormatting sqref="A8:Q42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2026-10-21T13:31:14Z</dcterms:created>
  <dcterms:modified xsi:type="dcterms:W3CDTF">2026-10-21T13:31:14Z</dcterms:modified>
</cp:coreProperties>
</file>